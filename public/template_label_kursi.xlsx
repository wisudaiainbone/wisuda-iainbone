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5-wisuda-iainbone\public\"/>
    </mc:Choice>
  </mc:AlternateContent>
  <xr:revisionPtr revIDLastSave="0" documentId="13_ncr:1_{0A4DD514-FDED-4EBD-9E0F-87638FDDAF2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ftar" sheetId="1" r:id="rId1"/>
    <sheet name="Hasil" sheetId="2" r:id="rId2"/>
  </sheets>
  <definedNames>
    <definedName name="_xlnm._FilterDatabase" localSheetId="0" hidden="1">Daftar!$A$1:$A$65423</definedName>
    <definedName name="_xlnm.Print_Area" localSheetId="0">Daftar!$A$1:$D$337</definedName>
    <definedName name="_xlnm.Print_Area" localSheetId="1">Hasil!$B$1:$D$26</definedName>
    <definedName name="W">Daftar!$C$175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" l="1"/>
  <c r="D25" i="2" s="1"/>
  <c r="A22" i="2"/>
  <c r="B25" i="2" s="1"/>
  <c r="E17" i="2"/>
  <c r="D17" i="2" s="1"/>
  <c r="A17" i="2"/>
  <c r="B20" i="2" s="1"/>
  <c r="E12" i="2"/>
  <c r="D15" i="2" s="1"/>
  <c r="A12" i="2"/>
  <c r="B15" i="2" s="1"/>
  <c r="E7" i="2"/>
  <c r="D9" i="2" s="1"/>
  <c r="A7" i="2"/>
  <c r="B10" i="2" s="1"/>
  <c r="E2" i="2"/>
  <c r="D5" i="2" s="1"/>
  <c r="A2" i="2"/>
  <c r="B5" i="2" s="1"/>
  <c r="D10" i="2" l="1"/>
  <c r="B12" i="2"/>
  <c r="D12" i="2"/>
  <c r="B13" i="2"/>
  <c r="D13" i="2"/>
  <c r="B17" i="2"/>
  <c r="B18" i="2"/>
  <c r="D18" i="2"/>
  <c r="B19" i="2"/>
  <c r="D19" i="2"/>
  <c r="D20" i="2"/>
  <c r="B22" i="2"/>
  <c r="B23" i="2"/>
  <c r="B24" i="2"/>
  <c r="B7" i="2"/>
  <c r="D7" i="2"/>
  <c r="B8" i="2"/>
  <c r="D8" i="2"/>
  <c r="B9" i="2"/>
  <c r="D14" i="2"/>
  <c r="D22" i="2"/>
  <c r="B4" i="2"/>
  <c r="D23" i="2"/>
  <c r="D4" i="2"/>
  <c r="B3" i="2"/>
  <c r="B14" i="2"/>
  <c r="D24" i="2"/>
  <c r="D3" i="2"/>
  <c r="B2" i="2"/>
  <c r="D2" i="2"/>
</calcChain>
</file>

<file path=xl/sharedStrings.xml><?xml version="1.0" encoding="utf-8"?>
<sst xmlns="http://schemas.openxmlformats.org/spreadsheetml/2006/main" count="52" uniqueCount="20">
  <si>
    <t>TEMPAT</t>
  </si>
  <si>
    <t>CATATAN</t>
  </si>
  <si>
    <t xml:space="preserve"> </t>
  </si>
  <si>
    <t>HJ.SITTI MALKA</t>
  </si>
  <si>
    <t>WIRASWASTA</t>
  </si>
  <si>
    <t>JL.SOEKAWATI</t>
  </si>
  <si>
    <t>A.AWALUDDIN</t>
  </si>
  <si>
    <t>BRIGADIR A.SUTRISNO</t>
  </si>
  <si>
    <t>ANGGOTA TIM SUS SEK KOTA</t>
  </si>
  <si>
    <t>BRIGADIR A.HERMANSYAH</t>
  </si>
  <si>
    <t>BRIGADIR A.SYAMSUALAM KARIM</t>
  </si>
  <si>
    <t>DG. MASALLE</t>
  </si>
  <si>
    <t>SYAKUR</t>
  </si>
  <si>
    <t>BRIGADIR IMRAN.BM</t>
  </si>
  <si>
    <t>AIPTU HERMAN</t>
  </si>
  <si>
    <t>KA TIM SUS SEK KOTA</t>
  </si>
  <si>
    <t>H.BUHERA</t>
  </si>
  <si>
    <t>DONCIS COMMUNITY</t>
  </si>
  <si>
    <t>16 X 19,5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</si>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</sst>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  <charset val="1"/>
    </font>
    <font>
      <sz val="11"/>
      <name val="Aptos"/>
      <family val="2"/>
    </font>
    <font>
      <sz val="10"/>
      <name val="Arial"/>
      <family val="2"/>
    </font>
    <font>
      <b/>
      <sz val="11"/>
      <name val="Aptos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Inter"/>
    </font>
    <font>
      <sz val="9"/>
      <name val="Inter"/>
    </font>
    <font>
      <b/>
      <sz val="9"/>
      <color theme="0"/>
      <name val="Inter"/>
    </font>
    <font>
      <sz val="9"/>
      <color indexed="8"/>
      <name val="Inter"/>
    </font>
    <font>
      <sz val="9"/>
      <color rgb="FF002060"/>
      <name val="Inter"/>
    </font>
    <font>
      <b/>
      <sz val="9"/>
      <color indexed="8"/>
      <name val="Inter"/>
    </font>
    <font>
      <sz val="11"/>
      <color indexed="8"/>
      <name val="Arial"/>
      <family val="2"/>
    </font>
    <font>
      <sz val="9"/>
      <color theme="0"/>
      <name val="Inte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8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3" fillId="0" borderId="0" xfId="0" applyFont="1" applyFill="1"/>
    <xf numFmtId="0" fontId="2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vertical="center"/>
    </xf>
    <xf numFmtId="0" fontId="1" fillId="0" borderId="0" xfId="0" applyFont="1" applyFill="1"/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top"/>
    </xf>
    <xf numFmtId="0" fontId="4" fillId="0" borderId="0" xfId="0" applyFont="1" applyFill="1" applyAlignment="1">
      <alignment vertical="center"/>
    </xf>
    <xf numFmtId="0" fontId="4" fillId="0" borderId="0" xfId="0" applyFont="1" applyFill="1"/>
    <xf numFmtId="0" fontId="4" fillId="0" borderId="0" xfId="0" applyFont="1" applyFill="1" applyAlignment="1">
      <alignment horizontal="left" vertical="top" wrapText="1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/>
    </xf>
    <xf numFmtId="0" fontId="4" fillId="0" borderId="0" xfId="0" quotePrefix="1" applyFont="1" applyFill="1" applyAlignment="1">
      <alignment vertical="center"/>
    </xf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pin" dx="16" fmlaLink="$F$2" max="3000" min="1" page="1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</xdr:colOff>
          <xdr:row>1</xdr:row>
          <xdr:rowOff>38100</xdr:rowOff>
        </xdr:from>
        <xdr:to>
          <xdr:col>5</xdr:col>
          <xdr:colOff>312420</xdr:colOff>
          <xdr:row>3</xdr:row>
          <xdr:rowOff>91440</xdr:rowOff>
        </xdr:to>
        <xdr:sp macro="" textlink="">
          <xdr:nvSpPr>
            <xdr:cNvPr id="1026" name="Spinne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65"/>
  <sheetViews>
    <sheetView zoomScale="85" zoomScaleNormal="85" workbookViewId="0">
      <selection activeCell="A2" sqref="A1:XFD1048576"/>
    </sheetView>
  </sheetViews>
  <sheetFormatPr defaultColWidth="9" defaultRowHeight="15.6" x14ac:dyDescent="0.3"/>
  <cols>
    <col min="1" max="1" width="5.5546875" style="24" customWidth="1"/>
    <col min="2" max="2" width="56.6640625" style="29" bestFit="1" customWidth="1"/>
    <col min="3" max="3" width="23.88671875" style="24" bestFit="1" customWidth="1"/>
    <col min="4" max="4" width="52.44140625" style="24" bestFit="1" customWidth="1"/>
    <col min="5" max="5" width="23.88671875" style="24" bestFit="1" customWidth="1"/>
    <col min="6" max="16384" width="9" style="15"/>
  </cols>
  <sheetData>
    <row r="1" spans="1:5" ht="14.4" x14ac:dyDescent="0.3">
      <c r="A1" s="14"/>
      <c r="B1" s="14"/>
      <c r="C1" s="14"/>
      <c r="D1" s="14"/>
      <c r="E1" s="14"/>
    </row>
    <row r="2" spans="1:5" ht="14.4" x14ac:dyDescent="0.3">
      <c r="A2" s="16"/>
      <c r="B2" s="17"/>
      <c r="C2" s="18"/>
      <c r="D2" s="19"/>
      <c r="E2" s="19"/>
    </row>
    <row r="3" spans="1:5" ht="14.4" x14ac:dyDescent="0.3">
      <c r="A3" s="16"/>
      <c r="B3" s="17"/>
      <c r="C3" s="19"/>
      <c r="D3" s="19"/>
      <c r="E3" s="19"/>
    </row>
    <row r="4" spans="1:5" ht="14.4" x14ac:dyDescent="0.3">
      <c r="A4" s="16"/>
      <c r="B4" s="20"/>
      <c r="C4" s="19"/>
      <c r="D4" s="19"/>
      <c r="E4" s="19"/>
    </row>
    <row r="5" spans="1:5" ht="14.4" x14ac:dyDescent="0.3">
      <c r="A5" s="16"/>
      <c r="B5" s="17"/>
      <c r="C5" s="21"/>
      <c r="D5" s="19"/>
      <c r="E5" s="19"/>
    </row>
    <row r="6" spans="1:5" ht="14.4" x14ac:dyDescent="0.3">
      <c r="A6" s="16"/>
      <c r="B6" s="17"/>
      <c r="C6" s="19"/>
      <c r="D6" s="19"/>
      <c r="E6" s="19"/>
    </row>
    <row r="7" spans="1:5" ht="14.4" x14ac:dyDescent="0.3">
      <c r="A7" s="16"/>
      <c r="B7" s="17"/>
      <c r="C7" s="19"/>
      <c r="D7" s="19"/>
      <c r="E7" s="19"/>
    </row>
    <row r="8" spans="1:5" x14ac:dyDescent="0.3">
      <c r="A8" s="16"/>
      <c r="B8" s="22"/>
      <c r="C8" s="23"/>
      <c r="E8" s="19"/>
    </row>
    <row r="9" spans="1:5" x14ac:dyDescent="0.3">
      <c r="A9" s="16"/>
      <c r="B9" s="25"/>
      <c r="C9" s="26"/>
    </row>
    <row r="10" spans="1:5" x14ac:dyDescent="0.3">
      <c r="A10" s="16"/>
      <c r="B10" s="25"/>
      <c r="C10" s="26"/>
    </row>
    <row r="11" spans="1:5" x14ac:dyDescent="0.3">
      <c r="A11" s="16"/>
      <c r="B11" s="25"/>
      <c r="C11" s="26"/>
    </row>
    <row r="12" spans="1:5" x14ac:dyDescent="0.3">
      <c r="A12" s="16"/>
      <c r="B12" s="25"/>
      <c r="C12" s="26"/>
    </row>
    <row r="13" spans="1:5" x14ac:dyDescent="0.3">
      <c r="A13" s="16"/>
      <c r="B13" s="25"/>
      <c r="C13" s="26"/>
    </row>
    <row r="14" spans="1:5" x14ac:dyDescent="0.3">
      <c r="A14" s="16"/>
      <c r="B14" s="22"/>
      <c r="C14" s="26"/>
    </row>
    <row r="15" spans="1:5" x14ac:dyDescent="0.3">
      <c r="A15" s="16"/>
      <c r="B15" s="22"/>
      <c r="C15" s="26"/>
    </row>
    <row r="16" spans="1:5" x14ac:dyDescent="0.3">
      <c r="A16" s="16"/>
      <c r="B16" s="22"/>
      <c r="C16" s="26"/>
    </row>
    <row r="17" spans="1:3" x14ac:dyDescent="0.3">
      <c r="A17" s="16"/>
      <c r="B17" s="22"/>
      <c r="C17" s="23"/>
    </row>
    <row r="18" spans="1:3" x14ac:dyDescent="0.3">
      <c r="A18" s="16"/>
      <c r="B18" s="22"/>
      <c r="C18" s="23"/>
    </row>
    <row r="19" spans="1:3" x14ac:dyDescent="0.3">
      <c r="A19" s="16"/>
      <c r="B19" s="22"/>
      <c r="C19" s="23"/>
    </row>
    <row r="20" spans="1:3" x14ac:dyDescent="0.3">
      <c r="A20" s="16"/>
      <c r="B20" s="22"/>
      <c r="C20" s="23"/>
    </row>
    <row r="21" spans="1:3" x14ac:dyDescent="0.3">
      <c r="A21" s="16"/>
      <c r="B21" s="22"/>
      <c r="C21" s="23"/>
    </row>
    <row r="22" spans="1:3" x14ac:dyDescent="0.3">
      <c r="A22" s="16"/>
      <c r="B22" s="22"/>
      <c r="C22" s="23"/>
    </row>
    <row r="23" spans="1:3" x14ac:dyDescent="0.3">
      <c r="A23" s="16"/>
      <c r="B23" s="22"/>
      <c r="C23" s="23"/>
    </row>
    <row r="24" spans="1:3" x14ac:dyDescent="0.3">
      <c r="A24" s="16"/>
      <c r="B24" s="22"/>
      <c r="C24" s="26"/>
    </row>
    <row r="25" spans="1:3" x14ac:dyDescent="0.3">
      <c r="A25" s="16"/>
      <c r="B25" s="22"/>
      <c r="C25" s="26"/>
    </row>
    <row r="26" spans="1:3" x14ac:dyDescent="0.3">
      <c r="A26" s="16"/>
      <c r="B26" s="22"/>
      <c r="C26" s="23"/>
    </row>
    <row r="27" spans="1:3" x14ac:dyDescent="0.3">
      <c r="A27" s="16"/>
      <c r="B27" s="22"/>
      <c r="C27" s="23"/>
    </row>
    <row r="28" spans="1:3" x14ac:dyDescent="0.3">
      <c r="A28" s="16"/>
      <c r="B28" s="22"/>
      <c r="C28" s="23"/>
    </row>
    <row r="29" spans="1:3" x14ac:dyDescent="0.3">
      <c r="A29" s="16"/>
      <c r="B29" s="22"/>
      <c r="C29" s="26"/>
    </row>
    <row r="30" spans="1:3" x14ac:dyDescent="0.3">
      <c r="A30" s="16"/>
      <c r="B30" s="22"/>
      <c r="C30" s="26"/>
    </row>
    <row r="31" spans="1:3" x14ac:dyDescent="0.3">
      <c r="A31" s="16"/>
      <c r="B31" s="22"/>
      <c r="C31" s="26"/>
    </row>
    <row r="32" spans="1:3" x14ac:dyDescent="0.3">
      <c r="A32" s="16"/>
      <c r="B32" s="22"/>
      <c r="C32" s="26"/>
    </row>
    <row r="33" spans="1:3" x14ac:dyDescent="0.3">
      <c r="A33" s="16"/>
      <c r="B33" s="22"/>
      <c r="C33" s="23"/>
    </row>
    <row r="34" spans="1:3" x14ac:dyDescent="0.3">
      <c r="A34" s="16"/>
      <c r="B34" s="22"/>
      <c r="C34" s="23"/>
    </row>
    <row r="35" spans="1:3" x14ac:dyDescent="0.3">
      <c r="A35" s="16"/>
      <c r="B35" s="22"/>
      <c r="C35" s="26"/>
    </row>
    <row r="36" spans="1:3" x14ac:dyDescent="0.3">
      <c r="A36" s="16"/>
      <c r="B36" s="22"/>
      <c r="C36" s="26"/>
    </row>
    <row r="37" spans="1:3" x14ac:dyDescent="0.3">
      <c r="A37" s="16"/>
      <c r="B37" s="22"/>
      <c r="C37" s="26"/>
    </row>
    <row r="38" spans="1:3" x14ac:dyDescent="0.3">
      <c r="A38" s="16"/>
      <c r="B38" s="22"/>
      <c r="C38" s="26"/>
    </row>
    <row r="39" spans="1:3" x14ac:dyDescent="0.3">
      <c r="A39" s="16"/>
      <c r="B39" s="22"/>
      <c r="C39" s="26"/>
    </row>
    <row r="40" spans="1:3" x14ac:dyDescent="0.3">
      <c r="A40" s="16"/>
      <c r="B40" s="22"/>
      <c r="C40" s="23"/>
    </row>
    <row r="41" spans="1:3" x14ac:dyDescent="0.3">
      <c r="A41" s="16"/>
      <c r="B41" s="22"/>
      <c r="C41" s="26"/>
    </row>
    <row r="42" spans="1:3" x14ac:dyDescent="0.3">
      <c r="A42" s="16"/>
      <c r="B42" s="22"/>
      <c r="C42" s="26"/>
    </row>
    <row r="43" spans="1:3" x14ac:dyDescent="0.3">
      <c r="A43" s="16"/>
      <c r="B43" s="22"/>
      <c r="C43" s="23"/>
    </row>
    <row r="44" spans="1:3" x14ac:dyDescent="0.3">
      <c r="A44" s="16"/>
      <c r="B44" s="22"/>
      <c r="C44" s="23"/>
    </row>
    <row r="45" spans="1:3" x14ac:dyDescent="0.3">
      <c r="A45" s="16"/>
      <c r="B45" s="22"/>
      <c r="C45" s="23"/>
    </row>
    <row r="46" spans="1:3" x14ac:dyDescent="0.3">
      <c r="A46" s="16"/>
      <c r="B46" s="22"/>
      <c r="C46" s="23"/>
    </row>
    <row r="47" spans="1:3" x14ac:dyDescent="0.3">
      <c r="A47" s="16"/>
      <c r="B47" s="22"/>
      <c r="C47" s="23"/>
    </row>
    <row r="48" spans="1:3" x14ac:dyDescent="0.3">
      <c r="A48" s="16"/>
      <c r="B48" s="22"/>
      <c r="C48" s="23"/>
    </row>
    <row r="49" spans="1:3" x14ac:dyDescent="0.3">
      <c r="A49" s="16"/>
      <c r="B49" s="22"/>
      <c r="C49" s="23"/>
    </row>
    <row r="50" spans="1:3" x14ac:dyDescent="0.3">
      <c r="A50" s="16"/>
      <c r="B50" s="22"/>
      <c r="C50" s="23"/>
    </row>
    <row r="51" spans="1:3" x14ac:dyDescent="0.3">
      <c r="A51" s="16"/>
      <c r="B51" s="22"/>
      <c r="C51" s="23"/>
    </row>
    <row r="52" spans="1:3" x14ac:dyDescent="0.3">
      <c r="A52" s="16"/>
      <c r="B52" s="22"/>
      <c r="C52" s="23"/>
    </row>
    <row r="53" spans="1:3" x14ac:dyDescent="0.3">
      <c r="A53" s="16"/>
      <c r="B53" s="22"/>
      <c r="C53" s="23"/>
    </row>
    <row r="54" spans="1:3" x14ac:dyDescent="0.3">
      <c r="A54" s="16"/>
      <c r="B54" s="22"/>
      <c r="C54" s="23"/>
    </row>
    <row r="55" spans="1:3" x14ac:dyDescent="0.3">
      <c r="A55" s="16"/>
      <c r="B55" s="22"/>
      <c r="C55" s="23"/>
    </row>
    <row r="56" spans="1:3" x14ac:dyDescent="0.3">
      <c r="A56" s="16"/>
      <c r="B56" s="22"/>
      <c r="C56" s="23"/>
    </row>
    <row r="57" spans="1:3" x14ac:dyDescent="0.3">
      <c r="A57" s="16"/>
      <c r="B57" s="22"/>
      <c r="C57" s="23"/>
    </row>
    <row r="58" spans="1:3" x14ac:dyDescent="0.3">
      <c r="A58" s="16"/>
      <c r="B58" s="22"/>
      <c r="C58" s="23"/>
    </row>
    <row r="59" spans="1:3" x14ac:dyDescent="0.3">
      <c r="A59" s="16"/>
      <c r="B59" s="22"/>
      <c r="C59" s="23"/>
    </row>
    <row r="60" spans="1:3" x14ac:dyDescent="0.3">
      <c r="A60" s="16"/>
      <c r="B60" s="22"/>
      <c r="C60" s="23"/>
    </row>
    <row r="61" spans="1:3" x14ac:dyDescent="0.3">
      <c r="A61" s="16"/>
      <c r="B61" s="22"/>
      <c r="C61" s="23"/>
    </row>
    <row r="62" spans="1:3" x14ac:dyDescent="0.3">
      <c r="A62" s="16"/>
      <c r="B62" s="22"/>
      <c r="C62" s="23"/>
    </row>
    <row r="63" spans="1:3" x14ac:dyDescent="0.3">
      <c r="A63" s="16"/>
      <c r="B63" s="22"/>
      <c r="C63" s="23"/>
    </row>
    <row r="64" spans="1:3" x14ac:dyDescent="0.3">
      <c r="A64" s="16"/>
      <c r="B64" s="22"/>
      <c r="C64" s="23"/>
    </row>
    <row r="65" spans="1:3" x14ac:dyDescent="0.3">
      <c r="A65" s="16"/>
      <c r="B65" s="22"/>
      <c r="C65" s="23"/>
    </row>
    <row r="66" spans="1:3" x14ac:dyDescent="0.3">
      <c r="A66" s="16"/>
      <c r="B66" s="22"/>
      <c r="C66" s="23"/>
    </row>
    <row r="67" spans="1:3" x14ac:dyDescent="0.3">
      <c r="A67" s="16"/>
      <c r="B67" s="22"/>
      <c r="C67" s="23"/>
    </row>
    <row r="68" spans="1:3" x14ac:dyDescent="0.3">
      <c r="A68" s="16"/>
      <c r="B68" s="22"/>
      <c r="C68" s="23"/>
    </row>
    <row r="69" spans="1:3" x14ac:dyDescent="0.3">
      <c r="A69" s="16"/>
      <c r="B69" s="22"/>
      <c r="C69" s="23"/>
    </row>
    <row r="70" spans="1:3" x14ac:dyDescent="0.3">
      <c r="A70" s="16"/>
      <c r="B70" s="22"/>
      <c r="C70" s="23"/>
    </row>
    <row r="71" spans="1:3" x14ac:dyDescent="0.3">
      <c r="A71" s="16"/>
      <c r="B71" s="22"/>
      <c r="C71" s="23"/>
    </row>
    <row r="72" spans="1:3" x14ac:dyDescent="0.3">
      <c r="A72" s="16"/>
      <c r="B72" s="22"/>
      <c r="C72" s="23"/>
    </row>
    <row r="73" spans="1:3" x14ac:dyDescent="0.3">
      <c r="A73" s="16"/>
      <c r="B73" s="22"/>
      <c r="C73" s="23"/>
    </row>
    <row r="74" spans="1:3" x14ac:dyDescent="0.3">
      <c r="A74" s="16"/>
      <c r="B74" s="22"/>
      <c r="C74" s="23"/>
    </row>
    <row r="75" spans="1:3" x14ac:dyDescent="0.3">
      <c r="A75" s="16"/>
      <c r="B75" s="22"/>
      <c r="C75" s="23"/>
    </row>
    <row r="76" spans="1:3" x14ac:dyDescent="0.3">
      <c r="A76" s="16"/>
      <c r="B76" s="22"/>
      <c r="C76" s="23"/>
    </row>
    <row r="77" spans="1:3" x14ac:dyDescent="0.3">
      <c r="A77" s="16"/>
      <c r="B77" s="22"/>
      <c r="C77" s="23"/>
    </row>
    <row r="78" spans="1:3" x14ac:dyDescent="0.3">
      <c r="A78" s="16"/>
      <c r="B78" s="22"/>
      <c r="C78" s="23"/>
    </row>
    <row r="79" spans="1:3" x14ac:dyDescent="0.3">
      <c r="A79" s="16"/>
      <c r="B79" s="22"/>
      <c r="C79" s="23"/>
    </row>
    <row r="80" spans="1:3" x14ac:dyDescent="0.3">
      <c r="A80" s="16"/>
      <c r="B80" s="22"/>
      <c r="C80" s="23"/>
    </row>
    <row r="81" spans="1:3" x14ac:dyDescent="0.3">
      <c r="A81" s="16"/>
      <c r="B81" s="22"/>
      <c r="C81" s="23"/>
    </row>
    <row r="82" spans="1:3" x14ac:dyDescent="0.3">
      <c r="A82" s="16"/>
      <c r="B82" s="22"/>
      <c r="C82" s="23"/>
    </row>
    <row r="83" spans="1:3" x14ac:dyDescent="0.3">
      <c r="A83" s="16"/>
      <c r="B83" s="22"/>
      <c r="C83" s="23"/>
    </row>
    <row r="84" spans="1:3" x14ac:dyDescent="0.3">
      <c r="A84" s="16"/>
      <c r="B84" s="22"/>
      <c r="C84" s="23"/>
    </row>
    <row r="85" spans="1:3" x14ac:dyDescent="0.3">
      <c r="A85" s="16"/>
      <c r="B85" s="22"/>
      <c r="C85" s="23"/>
    </row>
    <row r="86" spans="1:3" x14ac:dyDescent="0.3">
      <c r="A86" s="16"/>
      <c r="B86" s="22"/>
      <c r="C86" s="23"/>
    </row>
    <row r="87" spans="1:3" x14ac:dyDescent="0.3">
      <c r="A87" s="16"/>
      <c r="B87" s="22"/>
      <c r="C87" s="23"/>
    </row>
    <row r="88" spans="1:3" x14ac:dyDescent="0.3">
      <c r="A88" s="16"/>
      <c r="B88" s="22"/>
      <c r="C88" s="23"/>
    </row>
    <row r="89" spans="1:3" x14ac:dyDescent="0.3">
      <c r="A89" s="16"/>
      <c r="B89" s="22"/>
      <c r="C89" s="23"/>
    </row>
    <row r="90" spans="1:3" x14ac:dyDescent="0.3">
      <c r="A90" s="16"/>
      <c r="B90" s="22"/>
      <c r="C90" s="23"/>
    </row>
    <row r="91" spans="1:3" x14ac:dyDescent="0.3">
      <c r="A91" s="16"/>
      <c r="B91" s="22"/>
      <c r="C91" s="23"/>
    </row>
    <row r="92" spans="1:3" x14ac:dyDescent="0.3">
      <c r="A92" s="16"/>
      <c r="B92" s="22"/>
      <c r="C92" s="23"/>
    </row>
    <row r="93" spans="1:3" x14ac:dyDescent="0.3">
      <c r="A93" s="16"/>
      <c r="B93" s="22"/>
      <c r="C93" s="23"/>
    </row>
    <row r="94" spans="1:3" x14ac:dyDescent="0.3">
      <c r="A94" s="16"/>
      <c r="B94" s="22"/>
      <c r="C94" s="23"/>
    </row>
    <row r="95" spans="1:3" x14ac:dyDescent="0.3">
      <c r="A95" s="16"/>
      <c r="B95" s="22"/>
      <c r="C95" s="23"/>
    </row>
    <row r="96" spans="1:3" x14ac:dyDescent="0.3">
      <c r="A96" s="16"/>
      <c r="B96" s="22"/>
      <c r="C96" s="23"/>
    </row>
    <row r="97" spans="1:3" x14ac:dyDescent="0.3">
      <c r="A97" s="16"/>
      <c r="B97" s="22"/>
      <c r="C97" s="23"/>
    </row>
    <row r="98" spans="1:3" x14ac:dyDescent="0.3">
      <c r="A98" s="16"/>
      <c r="B98" s="22"/>
      <c r="C98" s="23"/>
    </row>
    <row r="99" spans="1:3" x14ac:dyDescent="0.3">
      <c r="A99" s="16"/>
      <c r="B99" s="22"/>
      <c r="C99" s="23"/>
    </row>
    <row r="100" spans="1:3" x14ac:dyDescent="0.3">
      <c r="A100" s="16"/>
      <c r="B100" s="22"/>
      <c r="C100" s="23"/>
    </row>
    <row r="101" spans="1:3" x14ac:dyDescent="0.3">
      <c r="A101" s="16"/>
      <c r="B101" s="22"/>
      <c r="C101" s="23"/>
    </row>
    <row r="102" spans="1:3" x14ac:dyDescent="0.3">
      <c r="A102" s="16"/>
      <c r="B102" s="22"/>
      <c r="C102" s="23"/>
    </row>
    <row r="103" spans="1:3" x14ac:dyDescent="0.3">
      <c r="A103" s="16"/>
      <c r="B103" s="22"/>
      <c r="C103" s="23"/>
    </row>
    <row r="104" spans="1:3" x14ac:dyDescent="0.3">
      <c r="A104" s="16"/>
      <c r="B104" s="22"/>
      <c r="C104" s="23"/>
    </row>
    <row r="105" spans="1:3" x14ac:dyDescent="0.3">
      <c r="A105" s="16"/>
      <c r="B105" s="22"/>
      <c r="C105" s="23"/>
    </row>
    <row r="106" spans="1:3" x14ac:dyDescent="0.3">
      <c r="A106" s="16"/>
      <c r="B106" s="22"/>
      <c r="C106" s="23"/>
    </row>
    <row r="107" spans="1:3" x14ac:dyDescent="0.3">
      <c r="A107" s="16"/>
      <c r="B107" s="22"/>
      <c r="C107" s="23"/>
    </row>
    <row r="108" spans="1:3" x14ac:dyDescent="0.3">
      <c r="A108" s="16"/>
      <c r="B108" s="22"/>
      <c r="C108" s="23"/>
    </row>
    <row r="109" spans="1:3" x14ac:dyDescent="0.3">
      <c r="A109" s="16"/>
      <c r="B109" s="22"/>
      <c r="C109" s="23"/>
    </row>
    <row r="110" spans="1:3" x14ac:dyDescent="0.3">
      <c r="A110" s="16"/>
      <c r="B110" s="22"/>
      <c r="C110" s="23"/>
    </row>
    <row r="111" spans="1:3" x14ac:dyDescent="0.3">
      <c r="A111" s="16"/>
      <c r="B111" s="22"/>
      <c r="C111" s="23"/>
    </row>
    <row r="112" spans="1:3" x14ac:dyDescent="0.3">
      <c r="A112" s="16"/>
      <c r="B112" s="22"/>
      <c r="C112" s="23"/>
    </row>
    <row r="113" spans="1:3" x14ac:dyDescent="0.3">
      <c r="A113" s="16"/>
      <c r="B113" s="22"/>
      <c r="C113" s="23"/>
    </row>
    <row r="114" spans="1:3" x14ac:dyDescent="0.3">
      <c r="A114" s="16"/>
      <c r="B114" s="22"/>
      <c r="C114" s="23"/>
    </row>
    <row r="115" spans="1:3" x14ac:dyDescent="0.3">
      <c r="A115" s="16"/>
      <c r="B115" s="22"/>
      <c r="C115" s="23"/>
    </row>
    <row r="116" spans="1:3" x14ac:dyDescent="0.3">
      <c r="A116" s="16"/>
      <c r="B116" s="22"/>
      <c r="C116" s="23"/>
    </row>
    <row r="117" spans="1:3" x14ac:dyDescent="0.3">
      <c r="A117" s="16"/>
      <c r="B117" s="22"/>
      <c r="C117" s="23"/>
    </row>
    <row r="118" spans="1:3" x14ac:dyDescent="0.3">
      <c r="A118" s="16"/>
      <c r="B118" s="22"/>
      <c r="C118" s="23"/>
    </row>
    <row r="119" spans="1:3" x14ac:dyDescent="0.3">
      <c r="A119" s="16"/>
      <c r="B119" s="22"/>
      <c r="C119" s="23"/>
    </row>
    <row r="120" spans="1:3" x14ac:dyDescent="0.3">
      <c r="A120" s="16"/>
      <c r="B120" s="22"/>
      <c r="C120" s="23"/>
    </row>
    <row r="121" spans="1:3" x14ac:dyDescent="0.3">
      <c r="A121" s="16"/>
      <c r="B121" s="22"/>
      <c r="C121" s="23"/>
    </row>
    <row r="122" spans="1:3" x14ac:dyDescent="0.3">
      <c r="A122" s="16"/>
      <c r="B122" s="22"/>
      <c r="C122" s="23"/>
    </row>
    <row r="123" spans="1:3" x14ac:dyDescent="0.3">
      <c r="A123" s="16"/>
      <c r="B123" s="22"/>
      <c r="C123" s="23"/>
    </row>
    <row r="124" spans="1:3" x14ac:dyDescent="0.3">
      <c r="A124" s="16"/>
      <c r="B124" s="22"/>
      <c r="C124" s="23"/>
    </row>
    <row r="125" spans="1:3" x14ac:dyDescent="0.3">
      <c r="A125" s="16"/>
      <c r="B125" s="22"/>
      <c r="C125" s="23"/>
    </row>
    <row r="126" spans="1:3" x14ac:dyDescent="0.3">
      <c r="A126" s="16"/>
      <c r="B126" s="22"/>
      <c r="C126" s="23"/>
    </row>
    <row r="127" spans="1:3" x14ac:dyDescent="0.3">
      <c r="A127" s="16"/>
      <c r="B127" s="22"/>
      <c r="C127" s="23"/>
    </row>
    <row r="128" spans="1:3" x14ac:dyDescent="0.3">
      <c r="A128" s="16"/>
      <c r="B128" s="22"/>
      <c r="C128" s="23"/>
    </row>
    <row r="129" spans="1:3" x14ac:dyDescent="0.3">
      <c r="A129" s="16"/>
      <c r="B129" s="22"/>
      <c r="C129" s="23"/>
    </row>
    <row r="130" spans="1:3" x14ac:dyDescent="0.3">
      <c r="A130" s="16"/>
      <c r="B130" s="22"/>
      <c r="C130" s="23"/>
    </row>
    <row r="131" spans="1:3" x14ac:dyDescent="0.3">
      <c r="A131" s="16"/>
      <c r="B131" s="22"/>
      <c r="C131" s="23"/>
    </row>
    <row r="132" spans="1:3" x14ac:dyDescent="0.3">
      <c r="A132" s="16"/>
      <c r="B132" s="22"/>
      <c r="C132" s="23"/>
    </row>
    <row r="133" spans="1:3" x14ac:dyDescent="0.3">
      <c r="A133" s="16"/>
      <c r="B133" s="22"/>
      <c r="C133" s="23"/>
    </row>
    <row r="134" spans="1:3" x14ac:dyDescent="0.3">
      <c r="A134" s="16"/>
      <c r="B134" s="22"/>
      <c r="C134" s="23"/>
    </row>
    <row r="135" spans="1:3" x14ac:dyDescent="0.3">
      <c r="A135" s="16"/>
      <c r="B135" s="22"/>
      <c r="C135" s="23"/>
    </row>
    <row r="136" spans="1:3" x14ac:dyDescent="0.3">
      <c r="A136" s="16"/>
      <c r="B136" s="22"/>
      <c r="C136" s="23"/>
    </row>
    <row r="137" spans="1:3" x14ac:dyDescent="0.3">
      <c r="A137" s="16"/>
      <c r="B137" s="22"/>
      <c r="C137" s="23"/>
    </row>
    <row r="138" spans="1:3" x14ac:dyDescent="0.3">
      <c r="A138" s="16"/>
      <c r="B138" s="22"/>
      <c r="C138" s="23"/>
    </row>
    <row r="139" spans="1:3" x14ac:dyDescent="0.3">
      <c r="A139" s="16"/>
      <c r="B139" s="22"/>
      <c r="C139" s="23"/>
    </row>
    <row r="140" spans="1:3" x14ac:dyDescent="0.3">
      <c r="A140" s="16"/>
      <c r="B140" s="22"/>
      <c r="C140" s="23"/>
    </row>
    <row r="141" spans="1:3" x14ac:dyDescent="0.3">
      <c r="A141" s="16"/>
      <c r="B141" s="22"/>
      <c r="C141" s="23"/>
    </row>
    <row r="142" spans="1:3" x14ac:dyDescent="0.3">
      <c r="A142" s="16"/>
      <c r="B142" s="22"/>
      <c r="C142" s="23"/>
    </row>
    <row r="143" spans="1:3" x14ac:dyDescent="0.3">
      <c r="A143" s="16"/>
      <c r="B143" s="22"/>
      <c r="C143" s="23"/>
    </row>
    <row r="144" spans="1:3" x14ac:dyDescent="0.3">
      <c r="A144" s="16"/>
      <c r="B144" s="22"/>
      <c r="C144" s="23"/>
    </row>
    <row r="145" spans="1:3" x14ac:dyDescent="0.3">
      <c r="A145" s="16"/>
      <c r="B145" s="22"/>
      <c r="C145" s="23"/>
    </row>
    <row r="146" spans="1:3" x14ac:dyDescent="0.3">
      <c r="A146" s="16"/>
      <c r="B146" s="22"/>
      <c r="C146" s="23"/>
    </row>
    <row r="147" spans="1:3" x14ac:dyDescent="0.3">
      <c r="A147" s="16"/>
      <c r="B147" s="22"/>
      <c r="C147" s="23"/>
    </row>
    <row r="148" spans="1:3" x14ac:dyDescent="0.3">
      <c r="A148" s="16"/>
      <c r="B148" s="22"/>
      <c r="C148" s="23"/>
    </row>
    <row r="149" spans="1:3" x14ac:dyDescent="0.3">
      <c r="A149" s="16"/>
      <c r="B149" s="27"/>
      <c r="C149" s="23"/>
    </row>
    <row r="150" spans="1:3" x14ac:dyDescent="0.3">
      <c r="A150" s="16"/>
      <c r="B150" s="27"/>
      <c r="C150" s="23"/>
    </row>
    <row r="151" spans="1:3" x14ac:dyDescent="0.3">
      <c r="A151" s="16"/>
      <c r="B151" s="27"/>
      <c r="C151" s="23"/>
    </row>
    <row r="152" spans="1:3" x14ac:dyDescent="0.3">
      <c r="A152" s="16"/>
      <c r="B152" s="27"/>
      <c r="C152" s="23"/>
    </row>
    <row r="153" spans="1:3" x14ac:dyDescent="0.3">
      <c r="A153" s="16"/>
      <c r="B153" s="27"/>
      <c r="C153" s="23"/>
    </row>
    <row r="154" spans="1:3" x14ac:dyDescent="0.3">
      <c r="A154" s="16"/>
      <c r="B154" s="27"/>
      <c r="C154" s="23"/>
    </row>
    <row r="155" spans="1:3" x14ac:dyDescent="0.3">
      <c r="A155" s="16"/>
      <c r="B155" s="27"/>
      <c r="C155" s="23"/>
    </row>
    <row r="156" spans="1:3" x14ac:dyDescent="0.3">
      <c r="A156" s="16"/>
      <c r="B156" s="27"/>
      <c r="C156" s="23"/>
    </row>
    <row r="157" spans="1:3" x14ac:dyDescent="0.3">
      <c r="A157" s="16"/>
      <c r="B157" s="27"/>
      <c r="C157" s="23"/>
    </row>
    <row r="158" spans="1:3" x14ac:dyDescent="0.3">
      <c r="A158" s="16"/>
      <c r="B158" s="27"/>
      <c r="C158" s="23"/>
    </row>
    <row r="159" spans="1:3" x14ac:dyDescent="0.3">
      <c r="A159" s="16"/>
      <c r="B159" s="27"/>
      <c r="C159" s="23"/>
    </row>
    <row r="160" spans="1:3" x14ac:dyDescent="0.3">
      <c r="A160" s="16"/>
      <c r="B160" s="27"/>
      <c r="C160" s="23"/>
    </row>
    <row r="161" spans="1:3" x14ac:dyDescent="0.3">
      <c r="A161" s="16"/>
      <c r="B161" s="27"/>
      <c r="C161" s="23"/>
    </row>
    <row r="162" spans="1:3" x14ac:dyDescent="0.3">
      <c r="A162" s="16"/>
      <c r="B162" s="27"/>
      <c r="C162" s="23"/>
    </row>
    <row r="163" spans="1:3" x14ac:dyDescent="0.3">
      <c r="A163" s="16"/>
      <c r="B163" s="27"/>
      <c r="C163" s="23"/>
    </row>
    <row r="164" spans="1:3" x14ac:dyDescent="0.3">
      <c r="A164" s="16"/>
      <c r="B164" s="27"/>
      <c r="C164" s="23"/>
    </row>
    <row r="165" spans="1:3" x14ac:dyDescent="0.3">
      <c r="A165" s="16"/>
      <c r="B165" s="27"/>
      <c r="C165" s="23"/>
    </row>
    <row r="166" spans="1:3" x14ac:dyDescent="0.3">
      <c r="A166" s="16"/>
      <c r="B166" s="27"/>
      <c r="C166" s="23"/>
    </row>
    <row r="167" spans="1:3" x14ac:dyDescent="0.3">
      <c r="A167" s="16"/>
      <c r="B167" s="27"/>
      <c r="C167" s="23"/>
    </row>
    <row r="168" spans="1:3" x14ac:dyDescent="0.3">
      <c r="A168" s="16"/>
      <c r="B168" s="27"/>
      <c r="C168" s="23"/>
    </row>
    <row r="169" spans="1:3" x14ac:dyDescent="0.3">
      <c r="A169" s="16"/>
      <c r="B169" s="27"/>
      <c r="C169" s="23"/>
    </row>
    <row r="170" spans="1:3" x14ac:dyDescent="0.3">
      <c r="A170" s="16"/>
      <c r="B170" s="27"/>
      <c r="C170" s="23"/>
    </row>
    <row r="171" spans="1:3" x14ac:dyDescent="0.3">
      <c r="A171" s="16"/>
      <c r="B171" s="27"/>
      <c r="C171" s="23"/>
    </row>
    <row r="172" spans="1:3" x14ac:dyDescent="0.3">
      <c r="A172" s="16"/>
      <c r="B172" s="27"/>
      <c r="C172" s="23"/>
    </row>
    <row r="173" spans="1:3" x14ac:dyDescent="0.3">
      <c r="A173" s="16"/>
      <c r="B173" s="27"/>
      <c r="C173" s="23"/>
    </row>
    <row r="174" spans="1:3" x14ac:dyDescent="0.3">
      <c r="A174" s="16"/>
      <c r="B174" s="27"/>
      <c r="C174" s="23"/>
    </row>
    <row r="175" spans="1:3" x14ac:dyDescent="0.3">
      <c r="A175" s="16"/>
      <c r="B175" s="27"/>
      <c r="C175" s="23"/>
    </row>
    <row r="176" spans="1:3" x14ac:dyDescent="0.3">
      <c r="A176" s="16"/>
      <c r="B176" s="27"/>
      <c r="C176" s="23"/>
    </row>
    <row r="177" spans="1:3" x14ac:dyDescent="0.3">
      <c r="A177" s="16"/>
      <c r="B177" s="27"/>
      <c r="C177" s="23"/>
    </row>
    <row r="178" spans="1:3" x14ac:dyDescent="0.3">
      <c r="A178" s="16"/>
      <c r="B178" s="27"/>
      <c r="C178" s="23"/>
    </row>
    <row r="179" spans="1:3" x14ac:dyDescent="0.3">
      <c r="A179" s="16"/>
      <c r="B179" s="27"/>
      <c r="C179" s="23"/>
    </row>
    <row r="180" spans="1:3" x14ac:dyDescent="0.3">
      <c r="A180" s="16"/>
      <c r="B180" s="27"/>
      <c r="C180" s="23"/>
    </row>
    <row r="181" spans="1:3" x14ac:dyDescent="0.3">
      <c r="A181" s="16"/>
      <c r="B181" s="27"/>
      <c r="C181" s="23"/>
    </row>
    <row r="182" spans="1:3" x14ac:dyDescent="0.3">
      <c r="A182" s="16"/>
      <c r="B182" s="27"/>
      <c r="C182" s="23"/>
    </row>
    <row r="183" spans="1:3" x14ac:dyDescent="0.3">
      <c r="A183" s="16"/>
      <c r="B183" s="27"/>
      <c r="C183" s="23"/>
    </row>
    <row r="184" spans="1:3" x14ac:dyDescent="0.3">
      <c r="A184" s="16"/>
      <c r="B184" s="27"/>
      <c r="C184" s="23"/>
    </row>
    <row r="185" spans="1:3" x14ac:dyDescent="0.3">
      <c r="A185" s="16"/>
      <c r="B185" s="27"/>
      <c r="C185" s="23"/>
    </row>
    <row r="186" spans="1:3" x14ac:dyDescent="0.3">
      <c r="A186" s="16"/>
      <c r="B186" s="27"/>
      <c r="C186" s="23"/>
    </row>
    <row r="187" spans="1:3" x14ac:dyDescent="0.3">
      <c r="A187" s="16"/>
      <c r="B187" s="27"/>
      <c r="C187" s="23"/>
    </row>
    <row r="188" spans="1:3" x14ac:dyDescent="0.3">
      <c r="A188" s="16"/>
      <c r="B188" s="27"/>
      <c r="C188" s="23"/>
    </row>
    <row r="189" spans="1:3" x14ac:dyDescent="0.3">
      <c r="A189" s="16"/>
      <c r="B189" s="27"/>
      <c r="C189" s="23"/>
    </row>
    <row r="190" spans="1:3" x14ac:dyDescent="0.3">
      <c r="A190" s="16"/>
      <c r="B190" s="27"/>
      <c r="C190" s="23"/>
    </row>
    <row r="191" spans="1:3" x14ac:dyDescent="0.3">
      <c r="A191" s="16"/>
      <c r="B191" s="27"/>
      <c r="C191" s="23"/>
    </row>
    <row r="192" spans="1:3" x14ac:dyDescent="0.3">
      <c r="A192" s="16"/>
      <c r="B192" s="27"/>
      <c r="C192" s="23"/>
    </row>
    <row r="193" spans="1:3" x14ac:dyDescent="0.3">
      <c r="A193" s="16"/>
      <c r="B193" s="27"/>
      <c r="C193" s="23"/>
    </row>
    <row r="194" spans="1:3" x14ac:dyDescent="0.3">
      <c r="A194" s="16"/>
      <c r="B194" s="27"/>
      <c r="C194" s="23"/>
    </row>
    <row r="195" spans="1:3" x14ac:dyDescent="0.3">
      <c r="A195" s="16"/>
      <c r="B195" s="27"/>
      <c r="C195" s="23"/>
    </row>
    <row r="196" spans="1:3" x14ac:dyDescent="0.3">
      <c r="A196" s="16"/>
      <c r="B196" s="27"/>
      <c r="C196" s="23"/>
    </row>
    <row r="197" spans="1:3" x14ac:dyDescent="0.3">
      <c r="A197" s="16"/>
      <c r="B197" s="27"/>
      <c r="C197" s="23"/>
    </row>
    <row r="198" spans="1:3" x14ac:dyDescent="0.3">
      <c r="A198" s="16"/>
      <c r="B198" s="27"/>
      <c r="C198" s="23"/>
    </row>
    <row r="199" spans="1:3" x14ac:dyDescent="0.3">
      <c r="A199" s="16"/>
      <c r="B199" s="27"/>
      <c r="C199" s="23"/>
    </row>
    <row r="200" spans="1:3" x14ac:dyDescent="0.3">
      <c r="A200" s="16"/>
      <c r="B200" s="27"/>
      <c r="C200" s="23"/>
    </row>
    <row r="201" spans="1:3" x14ac:dyDescent="0.3">
      <c r="A201" s="16"/>
      <c r="B201" s="27"/>
      <c r="C201" s="23"/>
    </row>
    <row r="202" spans="1:3" x14ac:dyDescent="0.3">
      <c r="A202" s="16"/>
      <c r="B202" s="27"/>
      <c r="C202" s="23"/>
    </row>
    <row r="203" spans="1:3" x14ac:dyDescent="0.3">
      <c r="A203" s="16"/>
      <c r="B203" s="27"/>
      <c r="C203" s="23"/>
    </row>
    <row r="204" spans="1:3" x14ac:dyDescent="0.3">
      <c r="A204" s="16"/>
      <c r="B204" s="27"/>
      <c r="C204" s="23"/>
    </row>
    <row r="205" spans="1:3" x14ac:dyDescent="0.3">
      <c r="A205" s="16"/>
      <c r="B205" s="27"/>
      <c r="C205" s="23"/>
    </row>
    <row r="206" spans="1:3" x14ac:dyDescent="0.3">
      <c r="A206" s="16"/>
      <c r="B206" s="27"/>
      <c r="C206" s="23"/>
    </row>
    <row r="207" spans="1:3" x14ac:dyDescent="0.3">
      <c r="A207" s="16"/>
      <c r="B207" s="27"/>
      <c r="C207" s="23"/>
    </row>
    <row r="208" spans="1:3" x14ac:dyDescent="0.3">
      <c r="A208" s="16"/>
      <c r="B208" s="27"/>
      <c r="C208" s="23"/>
    </row>
    <row r="209" spans="1:3" x14ac:dyDescent="0.3">
      <c r="A209" s="16"/>
      <c r="B209" s="27"/>
      <c r="C209" s="23"/>
    </row>
    <row r="210" spans="1:3" x14ac:dyDescent="0.3">
      <c r="A210" s="16"/>
      <c r="B210" s="27"/>
      <c r="C210" s="23"/>
    </row>
    <row r="211" spans="1:3" x14ac:dyDescent="0.3">
      <c r="A211" s="16"/>
      <c r="B211" s="27"/>
      <c r="C211" s="23"/>
    </row>
    <row r="212" spans="1:3" x14ac:dyDescent="0.3">
      <c r="A212" s="16"/>
      <c r="B212" s="27"/>
      <c r="C212" s="23"/>
    </row>
    <row r="213" spans="1:3" x14ac:dyDescent="0.3">
      <c r="A213" s="16"/>
      <c r="B213" s="27"/>
      <c r="C213" s="23"/>
    </row>
    <row r="214" spans="1:3" x14ac:dyDescent="0.3">
      <c r="A214" s="16"/>
      <c r="B214" s="27"/>
      <c r="C214" s="23"/>
    </row>
    <row r="215" spans="1:3" x14ac:dyDescent="0.3">
      <c r="A215" s="16"/>
      <c r="B215" s="27"/>
      <c r="C215" s="23"/>
    </row>
    <row r="216" spans="1:3" x14ac:dyDescent="0.3">
      <c r="A216" s="16"/>
      <c r="B216" s="27"/>
      <c r="C216" s="23"/>
    </row>
    <row r="217" spans="1:3" x14ac:dyDescent="0.3">
      <c r="A217" s="16"/>
      <c r="B217" s="27"/>
      <c r="C217" s="23"/>
    </row>
    <row r="218" spans="1:3" x14ac:dyDescent="0.3">
      <c r="A218" s="16"/>
      <c r="B218" s="27"/>
      <c r="C218" s="23"/>
    </row>
    <row r="219" spans="1:3" x14ac:dyDescent="0.3">
      <c r="A219" s="16"/>
      <c r="B219" s="27"/>
      <c r="C219" s="23"/>
    </row>
    <row r="220" spans="1:3" x14ac:dyDescent="0.3">
      <c r="A220" s="16"/>
      <c r="B220" s="27"/>
      <c r="C220" s="23"/>
    </row>
    <row r="221" spans="1:3" x14ac:dyDescent="0.3">
      <c r="A221" s="16"/>
      <c r="B221" s="27"/>
      <c r="C221" s="23"/>
    </row>
    <row r="222" spans="1:3" x14ac:dyDescent="0.3">
      <c r="A222" s="16"/>
      <c r="B222" s="27"/>
      <c r="C222" s="23"/>
    </row>
    <row r="223" spans="1:3" x14ac:dyDescent="0.3">
      <c r="A223" s="16"/>
      <c r="B223" s="24"/>
      <c r="C223" s="23"/>
    </row>
    <row r="224" spans="1:3" x14ac:dyDescent="0.3">
      <c r="A224" s="16"/>
      <c r="B224" s="27"/>
      <c r="C224" s="23"/>
    </row>
    <row r="225" spans="1:3" x14ac:dyDescent="0.3">
      <c r="A225" s="16"/>
      <c r="B225" s="27"/>
      <c r="C225" s="23"/>
    </row>
    <row r="226" spans="1:3" x14ac:dyDescent="0.3">
      <c r="A226" s="16"/>
      <c r="B226" s="27"/>
      <c r="C226" s="23"/>
    </row>
    <row r="227" spans="1:3" x14ac:dyDescent="0.3">
      <c r="A227" s="16"/>
      <c r="B227" s="27"/>
      <c r="C227" s="23"/>
    </row>
    <row r="228" spans="1:3" x14ac:dyDescent="0.3">
      <c r="A228" s="16"/>
      <c r="B228" s="27"/>
      <c r="C228" s="23"/>
    </row>
    <row r="229" spans="1:3" x14ac:dyDescent="0.3">
      <c r="A229" s="16"/>
      <c r="B229" s="27"/>
      <c r="C229" s="26"/>
    </row>
    <row r="230" spans="1:3" x14ac:dyDescent="0.3">
      <c r="A230" s="16"/>
      <c r="B230" s="27"/>
      <c r="C230" s="26"/>
    </row>
    <row r="231" spans="1:3" x14ac:dyDescent="0.3">
      <c r="A231" s="16"/>
      <c r="B231" s="27"/>
      <c r="C231" s="26"/>
    </row>
    <row r="232" spans="1:3" x14ac:dyDescent="0.3">
      <c r="A232" s="16"/>
      <c r="B232" s="27"/>
      <c r="C232" s="26"/>
    </row>
    <row r="233" spans="1:3" x14ac:dyDescent="0.3">
      <c r="A233" s="16"/>
      <c r="B233" s="27"/>
      <c r="C233" s="26"/>
    </row>
    <row r="234" spans="1:3" x14ac:dyDescent="0.3">
      <c r="A234" s="16"/>
      <c r="B234" s="27"/>
      <c r="C234" s="23"/>
    </row>
    <row r="235" spans="1:3" x14ac:dyDescent="0.3">
      <c r="A235" s="16"/>
      <c r="B235" s="27"/>
      <c r="C235" s="26"/>
    </row>
    <row r="236" spans="1:3" x14ac:dyDescent="0.3">
      <c r="A236" s="16"/>
      <c r="B236" s="27"/>
      <c r="C236" s="23"/>
    </row>
    <row r="237" spans="1:3" x14ac:dyDescent="0.3">
      <c r="A237" s="16"/>
      <c r="B237" s="27"/>
      <c r="C237" s="26"/>
    </row>
    <row r="238" spans="1:3" x14ac:dyDescent="0.3">
      <c r="A238" s="16"/>
      <c r="B238" s="27"/>
      <c r="C238" s="26"/>
    </row>
    <row r="239" spans="1:3" x14ac:dyDescent="0.3">
      <c r="A239" s="16"/>
      <c r="B239" s="27"/>
      <c r="C239" s="26"/>
    </row>
    <row r="240" spans="1:3" x14ac:dyDescent="0.3">
      <c r="A240" s="16"/>
      <c r="B240" s="27"/>
      <c r="C240" s="26"/>
    </row>
    <row r="241" spans="1:3" x14ac:dyDescent="0.3">
      <c r="A241" s="16"/>
      <c r="B241" s="27"/>
      <c r="C241" s="26"/>
    </row>
    <row r="242" spans="1:3" x14ac:dyDescent="0.3">
      <c r="A242" s="16"/>
      <c r="B242" s="27"/>
      <c r="C242" s="26"/>
    </row>
    <row r="243" spans="1:3" x14ac:dyDescent="0.3">
      <c r="A243" s="16"/>
      <c r="B243" s="27"/>
      <c r="C243" s="26"/>
    </row>
    <row r="244" spans="1:3" x14ac:dyDescent="0.3">
      <c r="A244" s="16"/>
      <c r="B244" s="27"/>
      <c r="C244" s="26"/>
    </row>
    <row r="245" spans="1:3" x14ac:dyDescent="0.3">
      <c r="A245" s="16"/>
      <c r="B245" s="27"/>
      <c r="C245" s="26"/>
    </row>
    <row r="246" spans="1:3" x14ac:dyDescent="0.3">
      <c r="A246" s="16"/>
      <c r="B246" s="27"/>
      <c r="C246" s="26"/>
    </row>
    <row r="247" spans="1:3" x14ac:dyDescent="0.3">
      <c r="A247" s="16"/>
      <c r="B247" s="27"/>
      <c r="C247" s="26"/>
    </row>
    <row r="248" spans="1:3" x14ac:dyDescent="0.3">
      <c r="A248" s="16"/>
      <c r="B248" s="27"/>
      <c r="C248" s="26"/>
    </row>
    <row r="249" spans="1:3" x14ac:dyDescent="0.3">
      <c r="A249" s="16"/>
      <c r="B249" s="27"/>
      <c r="C249" s="26"/>
    </row>
    <row r="250" spans="1:3" x14ac:dyDescent="0.3">
      <c r="A250" s="16"/>
      <c r="B250" s="27"/>
      <c r="C250" s="26"/>
    </row>
    <row r="251" spans="1:3" x14ac:dyDescent="0.3">
      <c r="A251" s="16"/>
      <c r="B251" s="27"/>
      <c r="C251" s="26"/>
    </row>
    <row r="252" spans="1:3" x14ac:dyDescent="0.3">
      <c r="A252" s="16"/>
      <c r="B252" s="27"/>
      <c r="C252" s="26"/>
    </row>
    <row r="253" spans="1:3" x14ac:dyDescent="0.3">
      <c r="A253" s="16"/>
      <c r="B253" s="27"/>
      <c r="C253" s="26"/>
    </row>
    <row r="254" spans="1:3" x14ac:dyDescent="0.3">
      <c r="A254" s="16"/>
      <c r="B254" s="27"/>
      <c r="C254" s="26"/>
    </row>
    <row r="255" spans="1:3" x14ac:dyDescent="0.3">
      <c r="A255" s="16"/>
      <c r="B255" s="27"/>
      <c r="C255" s="26"/>
    </row>
    <row r="256" spans="1:3" x14ac:dyDescent="0.3">
      <c r="A256" s="16"/>
      <c r="B256" s="27"/>
      <c r="C256" s="26"/>
    </row>
    <row r="257" spans="1:3" x14ac:dyDescent="0.3">
      <c r="A257" s="16"/>
      <c r="B257" s="27"/>
      <c r="C257" s="26"/>
    </row>
    <row r="258" spans="1:3" x14ac:dyDescent="0.3">
      <c r="A258" s="16"/>
      <c r="B258" s="27"/>
      <c r="C258" s="26"/>
    </row>
    <row r="259" spans="1:3" x14ac:dyDescent="0.3">
      <c r="A259" s="16"/>
      <c r="B259" s="27"/>
      <c r="C259" s="26"/>
    </row>
    <row r="260" spans="1:3" x14ac:dyDescent="0.3">
      <c r="A260" s="16"/>
      <c r="B260" s="27"/>
      <c r="C260" s="26"/>
    </row>
    <row r="261" spans="1:3" x14ac:dyDescent="0.3">
      <c r="A261" s="16"/>
      <c r="B261" s="24"/>
      <c r="C261" s="26"/>
    </row>
    <row r="262" spans="1:3" x14ac:dyDescent="0.3">
      <c r="A262" s="16"/>
      <c r="B262" s="24"/>
      <c r="C262" s="26"/>
    </row>
    <row r="263" spans="1:3" x14ac:dyDescent="0.3">
      <c r="A263" s="16"/>
      <c r="B263" s="27"/>
      <c r="C263" s="23"/>
    </row>
    <row r="264" spans="1:3" x14ac:dyDescent="0.3">
      <c r="A264" s="16"/>
      <c r="B264" s="27"/>
      <c r="C264" s="23"/>
    </row>
    <row r="265" spans="1:3" x14ac:dyDescent="0.3">
      <c r="A265" s="16"/>
      <c r="B265" s="27"/>
      <c r="C265" s="23"/>
    </row>
    <row r="266" spans="1:3" x14ac:dyDescent="0.3">
      <c r="A266" s="16"/>
      <c r="B266" s="27"/>
      <c r="C266" s="23"/>
    </row>
    <row r="267" spans="1:3" x14ac:dyDescent="0.3">
      <c r="A267" s="16"/>
      <c r="B267" s="27"/>
      <c r="C267" s="23"/>
    </row>
    <row r="268" spans="1:3" x14ac:dyDescent="0.3">
      <c r="A268" s="16"/>
      <c r="B268" s="27"/>
      <c r="C268" s="23"/>
    </row>
    <row r="269" spans="1:3" x14ac:dyDescent="0.3">
      <c r="A269" s="16"/>
      <c r="B269" s="27"/>
      <c r="C269" s="23"/>
    </row>
    <row r="270" spans="1:3" x14ac:dyDescent="0.3">
      <c r="A270" s="16"/>
      <c r="B270" s="27"/>
      <c r="C270" s="23"/>
    </row>
    <row r="271" spans="1:3" x14ac:dyDescent="0.3">
      <c r="A271" s="16"/>
      <c r="B271" s="27"/>
      <c r="C271" s="23"/>
    </row>
    <row r="272" spans="1:3" x14ac:dyDescent="0.3">
      <c r="A272" s="16"/>
      <c r="B272" s="27"/>
      <c r="C272" s="23"/>
    </row>
    <row r="273" spans="1:3" x14ac:dyDescent="0.3">
      <c r="A273" s="16"/>
      <c r="B273" s="27"/>
      <c r="C273" s="23"/>
    </row>
    <row r="274" spans="1:3" x14ac:dyDescent="0.3">
      <c r="A274" s="16"/>
      <c r="B274" s="27"/>
      <c r="C274" s="23"/>
    </row>
    <row r="275" spans="1:3" x14ac:dyDescent="0.3">
      <c r="A275" s="16"/>
      <c r="B275" s="27"/>
      <c r="C275" s="23"/>
    </row>
    <row r="276" spans="1:3" x14ac:dyDescent="0.3">
      <c r="A276" s="16"/>
      <c r="B276" s="27"/>
      <c r="C276" s="23"/>
    </row>
    <row r="277" spans="1:3" x14ac:dyDescent="0.3">
      <c r="A277" s="16"/>
      <c r="B277" s="27"/>
      <c r="C277" s="23"/>
    </row>
    <row r="278" spans="1:3" x14ac:dyDescent="0.3">
      <c r="A278" s="16"/>
      <c r="B278" s="27"/>
      <c r="C278" s="23"/>
    </row>
    <row r="279" spans="1:3" x14ac:dyDescent="0.3">
      <c r="A279" s="16"/>
      <c r="B279" s="27"/>
      <c r="C279" s="23"/>
    </row>
    <row r="280" spans="1:3" x14ac:dyDescent="0.3">
      <c r="A280" s="16"/>
      <c r="B280" s="27"/>
      <c r="C280" s="23"/>
    </row>
    <row r="281" spans="1:3" x14ac:dyDescent="0.3">
      <c r="A281" s="16"/>
      <c r="B281" s="27"/>
      <c r="C281" s="23"/>
    </row>
    <row r="282" spans="1:3" x14ac:dyDescent="0.3">
      <c r="A282" s="16"/>
      <c r="B282" s="27"/>
      <c r="C282" s="23"/>
    </row>
    <row r="283" spans="1:3" x14ac:dyDescent="0.3">
      <c r="A283" s="16"/>
      <c r="B283" s="27"/>
      <c r="C283" s="23"/>
    </row>
    <row r="284" spans="1:3" x14ac:dyDescent="0.3">
      <c r="A284" s="16"/>
      <c r="B284" s="27"/>
      <c r="C284" s="23"/>
    </row>
    <row r="285" spans="1:3" x14ac:dyDescent="0.3">
      <c r="A285" s="16"/>
      <c r="B285" s="27"/>
      <c r="C285" s="23"/>
    </row>
    <row r="286" spans="1:3" x14ac:dyDescent="0.3">
      <c r="A286" s="16"/>
      <c r="B286" s="27"/>
      <c r="C286" s="23"/>
    </row>
    <row r="287" spans="1:3" x14ac:dyDescent="0.3">
      <c r="A287" s="16"/>
      <c r="B287" s="27"/>
      <c r="C287" s="23"/>
    </row>
    <row r="288" spans="1:3" x14ac:dyDescent="0.3">
      <c r="A288" s="16"/>
      <c r="B288" s="27"/>
      <c r="C288" s="23"/>
    </row>
    <row r="289" spans="1:3" x14ac:dyDescent="0.3">
      <c r="A289" s="16"/>
      <c r="B289" s="27"/>
      <c r="C289" s="23"/>
    </row>
    <row r="290" spans="1:3" x14ac:dyDescent="0.3">
      <c r="A290" s="16"/>
      <c r="B290" s="27"/>
      <c r="C290" s="23"/>
    </row>
    <row r="291" spans="1:3" x14ac:dyDescent="0.3">
      <c r="A291" s="16"/>
      <c r="B291" s="27"/>
      <c r="C291" s="23"/>
    </row>
    <row r="292" spans="1:3" x14ac:dyDescent="0.3">
      <c r="A292" s="16"/>
      <c r="B292" s="27"/>
      <c r="C292" s="23"/>
    </row>
    <row r="293" spans="1:3" x14ac:dyDescent="0.3">
      <c r="A293" s="16"/>
      <c r="B293" s="27"/>
      <c r="C293" s="23"/>
    </row>
    <row r="294" spans="1:3" x14ac:dyDescent="0.3">
      <c r="A294" s="16"/>
      <c r="B294" s="27"/>
      <c r="C294" s="23"/>
    </row>
    <row r="295" spans="1:3" x14ac:dyDescent="0.3">
      <c r="A295" s="16"/>
      <c r="B295" s="27"/>
      <c r="C295" s="26"/>
    </row>
    <row r="296" spans="1:3" x14ac:dyDescent="0.3">
      <c r="A296" s="16"/>
      <c r="B296" s="27"/>
      <c r="C296" s="26"/>
    </row>
    <row r="297" spans="1:3" x14ac:dyDescent="0.3">
      <c r="A297" s="16"/>
      <c r="B297" s="27"/>
      <c r="C297" s="26"/>
    </row>
    <row r="298" spans="1:3" x14ac:dyDescent="0.3">
      <c r="A298" s="16"/>
      <c r="B298" s="27"/>
      <c r="C298" s="26"/>
    </row>
    <row r="299" spans="1:3" x14ac:dyDescent="0.3">
      <c r="A299" s="16"/>
      <c r="B299" s="27"/>
      <c r="C299" s="26"/>
    </row>
    <row r="300" spans="1:3" x14ac:dyDescent="0.3">
      <c r="A300" s="16"/>
      <c r="B300" s="27"/>
      <c r="C300" s="26"/>
    </row>
    <row r="301" spans="1:3" x14ac:dyDescent="0.3">
      <c r="A301" s="16"/>
      <c r="B301" s="27"/>
      <c r="C301" s="26"/>
    </row>
    <row r="302" spans="1:3" x14ac:dyDescent="0.3">
      <c r="A302" s="16"/>
      <c r="B302" s="27"/>
      <c r="C302" s="26"/>
    </row>
    <row r="303" spans="1:3" x14ac:dyDescent="0.3">
      <c r="A303" s="16"/>
      <c r="B303" s="27"/>
      <c r="C303" s="26"/>
    </row>
    <row r="304" spans="1:3" x14ac:dyDescent="0.3">
      <c r="A304" s="16"/>
      <c r="B304" s="27"/>
      <c r="C304" s="26"/>
    </row>
    <row r="305" spans="1:3" x14ac:dyDescent="0.3">
      <c r="A305" s="16"/>
      <c r="B305" s="27"/>
      <c r="C305" s="26"/>
    </row>
    <row r="306" spans="1:3" x14ac:dyDescent="0.3">
      <c r="A306" s="16"/>
      <c r="B306" s="27"/>
      <c r="C306" s="26"/>
    </row>
    <row r="307" spans="1:3" x14ac:dyDescent="0.3">
      <c r="A307" s="16"/>
      <c r="B307" s="27"/>
      <c r="C307" s="26"/>
    </row>
    <row r="308" spans="1:3" x14ac:dyDescent="0.3">
      <c r="A308" s="16"/>
      <c r="B308" s="27"/>
      <c r="C308" s="26"/>
    </row>
    <row r="309" spans="1:3" x14ac:dyDescent="0.3">
      <c r="A309" s="16"/>
      <c r="B309" s="27"/>
      <c r="C309" s="26"/>
    </row>
    <row r="310" spans="1:3" x14ac:dyDescent="0.3">
      <c r="A310" s="16"/>
      <c r="B310" s="27"/>
      <c r="C310" s="26"/>
    </row>
    <row r="311" spans="1:3" x14ac:dyDescent="0.3">
      <c r="A311" s="16"/>
      <c r="B311" s="27"/>
      <c r="C311" s="26"/>
    </row>
    <row r="312" spans="1:3" x14ac:dyDescent="0.3">
      <c r="A312" s="16"/>
      <c r="B312" s="27"/>
      <c r="C312" s="26"/>
    </row>
    <row r="313" spans="1:3" x14ac:dyDescent="0.3">
      <c r="A313" s="16"/>
      <c r="B313" s="27"/>
      <c r="C313" s="26"/>
    </row>
    <row r="314" spans="1:3" x14ac:dyDescent="0.3">
      <c r="A314" s="16"/>
      <c r="B314" s="27"/>
      <c r="C314" s="26"/>
    </row>
    <row r="315" spans="1:3" x14ac:dyDescent="0.3">
      <c r="A315" s="16"/>
      <c r="B315" s="27"/>
      <c r="C315" s="26"/>
    </row>
    <row r="316" spans="1:3" x14ac:dyDescent="0.3">
      <c r="A316" s="16"/>
      <c r="B316" s="27"/>
      <c r="C316" s="26"/>
    </row>
    <row r="317" spans="1:3" x14ac:dyDescent="0.3">
      <c r="A317" s="16"/>
      <c r="B317" s="27"/>
      <c r="C317" s="26"/>
    </row>
    <row r="318" spans="1:3" x14ac:dyDescent="0.3">
      <c r="A318" s="16"/>
      <c r="B318" s="27"/>
      <c r="C318" s="26"/>
    </row>
    <row r="319" spans="1:3" x14ac:dyDescent="0.3">
      <c r="A319" s="16"/>
      <c r="B319" s="27"/>
      <c r="C319" s="26"/>
    </row>
    <row r="320" spans="1:3" x14ac:dyDescent="0.3">
      <c r="A320" s="16"/>
      <c r="B320" s="27"/>
      <c r="C320" s="26"/>
    </row>
    <row r="321" spans="1:3" x14ac:dyDescent="0.3">
      <c r="A321" s="16"/>
      <c r="B321" s="27"/>
      <c r="C321" s="26"/>
    </row>
    <row r="322" spans="1:3" x14ac:dyDescent="0.3">
      <c r="A322" s="16"/>
      <c r="B322" s="27"/>
      <c r="C322" s="26"/>
    </row>
    <row r="323" spans="1:3" x14ac:dyDescent="0.3">
      <c r="A323" s="16"/>
      <c r="B323" s="27"/>
      <c r="C323" s="26"/>
    </row>
    <row r="324" spans="1:3" x14ac:dyDescent="0.3">
      <c r="A324" s="16"/>
      <c r="B324" s="27"/>
      <c r="C324" s="26"/>
    </row>
    <row r="325" spans="1:3" x14ac:dyDescent="0.3">
      <c r="A325" s="16"/>
      <c r="B325" s="27"/>
      <c r="C325" s="26"/>
    </row>
    <row r="326" spans="1:3" x14ac:dyDescent="0.3">
      <c r="A326" s="16"/>
      <c r="B326" s="27"/>
      <c r="C326" s="26"/>
    </row>
    <row r="327" spans="1:3" x14ac:dyDescent="0.3">
      <c r="A327" s="16"/>
      <c r="B327" s="27"/>
      <c r="C327" s="26"/>
    </row>
    <row r="328" spans="1:3" x14ac:dyDescent="0.3">
      <c r="A328" s="16"/>
      <c r="B328" s="27"/>
      <c r="C328" s="26"/>
    </row>
    <row r="329" spans="1:3" x14ac:dyDescent="0.3">
      <c r="A329" s="16"/>
      <c r="B329" s="27"/>
      <c r="C329" s="26"/>
    </row>
    <row r="330" spans="1:3" x14ac:dyDescent="0.3">
      <c r="A330" s="16"/>
      <c r="B330" s="24"/>
      <c r="C330" s="26"/>
    </row>
    <row r="331" spans="1:3" x14ac:dyDescent="0.3">
      <c r="A331" s="16"/>
      <c r="B331" s="24"/>
      <c r="C331" s="26"/>
    </row>
    <row r="332" spans="1:3" x14ac:dyDescent="0.3">
      <c r="A332" s="16"/>
      <c r="B332" s="25"/>
      <c r="C332" s="26"/>
    </row>
    <row r="333" spans="1:3" x14ac:dyDescent="0.3">
      <c r="A333" s="16"/>
      <c r="B333" s="25"/>
      <c r="C333" s="26"/>
    </row>
    <row r="334" spans="1:3" x14ac:dyDescent="0.3">
      <c r="A334" s="16"/>
      <c r="B334" s="24"/>
      <c r="C334" s="26"/>
    </row>
    <row r="335" spans="1:3" x14ac:dyDescent="0.3">
      <c r="A335" s="16"/>
      <c r="B335" s="22"/>
      <c r="C335" s="26"/>
    </row>
    <row r="336" spans="1:3" x14ac:dyDescent="0.3">
      <c r="A336" s="16"/>
      <c r="B336" s="23"/>
      <c r="C336" s="26"/>
    </row>
    <row r="337" spans="1:3" x14ac:dyDescent="0.3">
      <c r="A337" s="16"/>
      <c r="B337" s="23"/>
      <c r="C337" s="26"/>
    </row>
    <row r="338" spans="1:3" x14ac:dyDescent="0.3">
      <c r="A338" s="16"/>
      <c r="B338" s="23"/>
      <c r="C338" s="26"/>
    </row>
    <row r="339" spans="1:3" x14ac:dyDescent="0.3">
      <c r="A339" s="16"/>
      <c r="B339" s="23"/>
      <c r="C339" s="23"/>
    </row>
    <row r="340" spans="1:3" x14ac:dyDescent="0.3">
      <c r="A340" s="16"/>
      <c r="B340" s="28"/>
      <c r="C340" s="28"/>
    </row>
    <row r="341" spans="1:3" x14ac:dyDescent="0.3">
      <c r="A341" s="16"/>
      <c r="B341" s="28"/>
      <c r="C341" s="28"/>
    </row>
    <row r="342" spans="1:3" x14ac:dyDescent="0.3">
      <c r="A342" s="16"/>
      <c r="B342" s="28"/>
      <c r="C342" s="28"/>
    </row>
    <row r="343" spans="1:3" x14ac:dyDescent="0.3">
      <c r="A343" s="16"/>
      <c r="B343" s="28"/>
      <c r="C343" s="28"/>
    </row>
    <row r="344" spans="1:3" x14ac:dyDescent="0.3">
      <c r="A344" s="16"/>
      <c r="B344" s="28"/>
      <c r="C344" s="28"/>
    </row>
    <row r="345" spans="1:3" x14ac:dyDescent="0.3">
      <c r="A345" s="16"/>
      <c r="B345" s="28"/>
      <c r="C345" s="28"/>
    </row>
    <row r="346" spans="1:3" x14ac:dyDescent="0.3">
      <c r="A346" s="16"/>
      <c r="B346" s="28"/>
      <c r="C346" s="28"/>
    </row>
    <row r="347" spans="1:3" x14ac:dyDescent="0.3">
      <c r="A347" s="16"/>
      <c r="B347" s="28"/>
      <c r="C347" s="28"/>
    </row>
    <row r="348" spans="1:3" x14ac:dyDescent="0.3">
      <c r="A348" s="16"/>
      <c r="B348" s="28"/>
      <c r="C348" s="28"/>
    </row>
    <row r="349" spans="1:3" x14ac:dyDescent="0.3">
      <c r="A349" s="16"/>
      <c r="B349" s="28"/>
      <c r="C349" s="28"/>
    </row>
    <row r="350" spans="1:3" x14ac:dyDescent="0.3">
      <c r="A350" s="16"/>
      <c r="B350" s="28"/>
      <c r="C350" s="28"/>
    </row>
    <row r="351" spans="1:3" x14ac:dyDescent="0.3">
      <c r="A351" s="16"/>
      <c r="B351" s="28"/>
      <c r="C351" s="28"/>
    </row>
    <row r="352" spans="1:3" x14ac:dyDescent="0.3">
      <c r="A352" s="16"/>
      <c r="B352" s="28"/>
      <c r="C352" s="28"/>
    </row>
    <row r="353" spans="1:3" x14ac:dyDescent="0.3">
      <c r="A353" s="16"/>
      <c r="B353" s="28"/>
      <c r="C353" s="28"/>
    </row>
    <row r="354" spans="1:3" x14ac:dyDescent="0.3">
      <c r="A354" s="16"/>
      <c r="B354" s="28"/>
      <c r="C354" s="28"/>
    </row>
    <row r="355" spans="1:3" x14ac:dyDescent="0.3">
      <c r="A355" s="16"/>
      <c r="B355" s="28"/>
      <c r="C355" s="28"/>
    </row>
    <row r="356" spans="1:3" x14ac:dyDescent="0.3">
      <c r="A356" s="16"/>
      <c r="B356" s="28"/>
      <c r="C356" s="28"/>
    </row>
    <row r="357" spans="1:3" x14ac:dyDescent="0.3">
      <c r="A357" s="16"/>
      <c r="B357" s="28"/>
      <c r="C357" s="28"/>
    </row>
    <row r="358" spans="1:3" x14ac:dyDescent="0.3">
      <c r="A358" s="16"/>
      <c r="B358" s="28"/>
      <c r="C358" s="28"/>
    </row>
    <row r="359" spans="1:3" x14ac:dyDescent="0.3">
      <c r="A359" s="16"/>
      <c r="B359" s="28"/>
      <c r="C359" s="28"/>
    </row>
    <row r="360" spans="1:3" x14ac:dyDescent="0.3">
      <c r="A360" s="16"/>
      <c r="B360" s="28"/>
      <c r="C360" s="28"/>
    </row>
    <row r="361" spans="1:3" x14ac:dyDescent="0.3">
      <c r="A361" s="16"/>
      <c r="B361" s="28"/>
      <c r="C361" s="28"/>
    </row>
    <row r="362" spans="1:3" x14ac:dyDescent="0.3">
      <c r="A362" s="16"/>
      <c r="B362" s="28"/>
      <c r="C362" s="28"/>
    </row>
    <row r="363" spans="1:3" x14ac:dyDescent="0.3">
      <c r="A363" s="16"/>
      <c r="B363" s="28"/>
      <c r="C363" s="28"/>
    </row>
    <row r="364" spans="1:3" x14ac:dyDescent="0.3">
      <c r="A364" s="16"/>
      <c r="B364" s="28"/>
      <c r="C364" s="28"/>
    </row>
    <row r="365" spans="1:3" x14ac:dyDescent="0.3">
      <c r="A365" s="16"/>
      <c r="B365" s="28"/>
      <c r="C365" s="28"/>
    </row>
    <row r="366" spans="1:3" x14ac:dyDescent="0.3">
      <c r="A366" s="16"/>
      <c r="B366" s="28"/>
      <c r="C366" s="28"/>
    </row>
    <row r="367" spans="1:3" x14ac:dyDescent="0.3">
      <c r="A367" s="16"/>
      <c r="B367" s="28"/>
      <c r="C367" s="28"/>
    </row>
    <row r="368" spans="1:3" x14ac:dyDescent="0.3">
      <c r="A368" s="16"/>
      <c r="B368" s="28"/>
      <c r="C368" s="28"/>
    </row>
    <row r="369" spans="1:3" x14ac:dyDescent="0.3">
      <c r="A369" s="16"/>
      <c r="B369" s="28"/>
      <c r="C369" s="28"/>
    </row>
    <row r="370" spans="1:3" x14ac:dyDescent="0.3">
      <c r="A370" s="16"/>
      <c r="B370" s="28"/>
      <c r="C370" s="28"/>
    </row>
    <row r="371" spans="1:3" x14ac:dyDescent="0.3">
      <c r="A371" s="16"/>
      <c r="B371" s="28"/>
      <c r="C371" s="28"/>
    </row>
    <row r="372" spans="1:3" x14ac:dyDescent="0.3">
      <c r="A372" s="16"/>
      <c r="B372" s="28"/>
      <c r="C372" s="28"/>
    </row>
    <row r="373" spans="1:3" x14ac:dyDescent="0.3">
      <c r="A373" s="16"/>
      <c r="B373" s="28"/>
      <c r="C373" s="28"/>
    </row>
    <row r="374" spans="1:3" x14ac:dyDescent="0.3">
      <c r="A374" s="16"/>
      <c r="B374" s="28"/>
      <c r="C374" s="28"/>
    </row>
    <row r="375" spans="1:3" x14ac:dyDescent="0.3">
      <c r="A375" s="16"/>
      <c r="B375" s="28"/>
      <c r="C375" s="28"/>
    </row>
    <row r="376" spans="1:3" x14ac:dyDescent="0.3">
      <c r="A376" s="16"/>
      <c r="B376" s="28"/>
      <c r="C376" s="28"/>
    </row>
    <row r="377" spans="1:3" x14ac:dyDescent="0.3">
      <c r="A377" s="16"/>
      <c r="B377" s="28"/>
      <c r="C377" s="28"/>
    </row>
    <row r="378" spans="1:3" x14ac:dyDescent="0.3">
      <c r="A378" s="16"/>
      <c r="B378" s="28"/>
      <c r="C378" s="28"/>
    </row>
    <row r="379" spans="1:3" x14ac:dyDescent="0.3">
      <c r="A379" s="16"/>
    </row>
    <row r="380" spans="1:3" x14ac:dyDescent="0.3">
      <c r="A380" s="16"/>
    </row>
    <row r="381" spans="1:3" x14ac:dyDescent="0.3">
      <c r="A381" s="16"/>
    </row>
    <row r="382" spans="1:3" x14ac:dyDescent="0.3">
      <c r="A382" s="16"/>
      <c r="B382" s="22"/>
      <c r="C382" s="23"/>
    </row>
    <row r="383" spans="1:3" x14ac:dyDescent="0.3">
      <c r="A383" s="16"/>
      <c r="B383" s="22"/>
      <c r="C383" s="23"/>
    </row>
    <row r="384" spans="1:3" x14ac:dyDescent="0.3">
      <c r="A384" s="16"/>
    </row>
    <row r="385" spans="1:1" x14ac:dyDescent="0.3">
      <c r="A385" s="16"/>
    </row>
    <row r="386" spans="1:1" x14ac:dyDescent="0.3">
      <c r="A386" s="16"/>
    </row>
    <row r="387" spans="1:1" x14ac:dyDescent="0.3">
      <c r="A387" s="16"/>
    </row>
    <row r="388" spans="1:1" x14ac:dyDescent="0.3">
      <c r="A388" s="16"/>
    </row>
    <row r="389" spans="1:1" x14ac:dyDescent="0.3">
      <c r="A389" s="16"/>
    </row>
    <row r="390" spans="1:1" x14ac:dyDescent="0.3">
      <c r="A390" s="16"/>
    </row>
    <row r="391" spans="1:1" x14ac:dyDescent="0.3">
      <c r="A391" s="16"/>
    </row>
    <row r="1760" spans="2:2" x14ac:dyDescent="0.3">
      <c r="B1760" s="24"/>
    </row>
    <row r="1761" spans="2:2" x14ac:dyDescent="0.3">
      <c r="B1761" s="24"/>
    </row>
    <row r="1762" spans="2:2" x14ac:dyDescent="0.3">
      <c r="B1762" s="24"/>
    </row>
    <row r="1763" spans="2:2" x14ac:dyDescent="0.3">
      <c r="B1763" s="24"/>
    </row>
    <row r="1764" spans="2:2" x14ac:dyDescent="0.3">
      <c r="B1764" s="24"/>
    </row>
    <row r="1765" spans="2:2" x14ac:dyDescent="0.3">
      <c r="B1765" s="24"/>
    </row>
    <row r="1766" spans="2:2" x14ac:dyDescent="0.3">
      <c r="B1766" s="24"/>
    </row>
    <row r="1767" spans="2:2" x14ac:dyDescent="0.3">
      <c r="B1767" s="24"/>
    </row>
    <row r="1768" spans="2:2" x14ac:dyDescent="0.3">
      <c r="B1768" s="24"/>
    </row>
    <row r="1769" spans="2:2" x14ac:dyDescent="0.3">
      <c r="B1769" s="24"/>
    </row>
    <row r="1770" spans="2:2" x14ac:dyDescent="0.3">
      <c r="B1770" s="24"/>
    </row>
    <row r="1771" spans="2:2" x14ac:dyDescent="0.3">
      <c r="B1771" s="24"/>
    </row>
    <row r="1772" spans="2:2" x14ac:dyDescent="0.3">
      <c r="B1772" s="24"/>
    </row>
    <row r="1773" spans="2:2" x14ac:dyDescent="0.3">
      <c r="B1773" s="24"/>
    </row>
    <row r="1774" spans="2:2" x14ac:dyDescent="0.3">
      <c r="B1774" s="24"/>
    </row>
    <row r="1775" spans="2:2" x14ac:dyDescent="0.3">
      <c r="B1775" s="24"/>
    </row>
    <row r="1776" spans="2:2" x14ac:dyDescent="0.3">
      <c r="B1776" s="24"/>
    </row>
    <row r="1777" spans="2:2" x14ac:dyDescent="0.3">
      <c r="B1777" s="24"/>
    </row>
    <row r="1778" spans="2:2" x14ac:dyDescent="0.3">
      <c r="B1778" s="24"/>
    </row>
    <row r="1779" spans="2:2" x14ac:dyDescent="0.3">
      <c r="B1779" s="24"/>
    </row>
    <row r="1780" spans="2:2" x14ac:dyDescent="0.3">
      <c r="B1780" s="24"/>
    </row>
    <row r="1781" spans="2:2" x14ac:dyDescent="0.3">
      <c r="B1781" s="24"/>
    </row>
    <row r="1782" spans="2:2" x14ac:dyDescent="0.3">
      <c r="B1782" s="24"/>
    </row>
    <row r="1783" spans="2:2" x14ac:dyDescent="0.3">
      <c r="B1783" s="24"/>
    </row>
    <row r="1784" spans="2:2" x14ac:dyDescent="0.3">
      <c r="B1784" s="24"/>
    </row>
    <row r="1785" spans="2:2" x14ac:dyDescent="0.3">
      <c r="B1785" s="24"/>
    </row>
    <row r="1786" spans="2:2" x14ac:dyDescent="0.3">
      <c r="B1786" s="24"/>
    </row>
    <row r="1787" spans="2:2" x14ac:dyDescent="0.3">
      <c r="B1787" s="24"/>
    </row>
    <row r="1788" spans="2:2" x14ac:dyDescent="0.3">
      <c r="B1788" s="24"/>
    </row>
    <row r="1789" spans="2:2" x14ac:dyDescent="0.3">
      <c r="B1789" s="24"/>
    </row>
    <row r="1790" spans="2:2" x14ac:dyDescent="0.3">
      <c r="B1790" s="24"/>
    </row>
    <row r="1791" spans="2:2" x14ac:dyDescent="0.3">
      <c r="B1791" s="24"/>
    </row>
    <row r="1792" spans="2:2" x14ac:dyDescent="0.3">
      <c r="B1792" s="24"/>
    </row>
    <row r="1793" spans="2:2" x14ac:dyDescent="0.3">
      <c r="B1793" s="24"/>
    </row>
    <row r="1794" spans="2:2" x14ac:dyDescent="0.3">
      <c r="B1794" s="24"/>
    </row>
    <row r="1795" spans="2:2" x14ac:dyDescent="0.3">
      <c r="B1795" s="24"/>
    </row>
    <row r="1796" spans="2:2" x14ac:dyDescent="0.3">
      <c r="B1796" s="24"/>
    </row>
    <row r="1797" spans="2:2" x14ac:dyDescent="0.3">
      <c r="B1797" s="24"/>
    </row>
    <row r="1798" spans="2:2" x14ac:dyDescent="0.3">
      <c r="B1798" s="24"/>
    </row>
    <row r="1799" spans="2:2" x14ac:dyDescent="0.3">
      <c r="B1799" s="24"/>
    </row>
    <row r="1800" spans="2:2" x14ac:dyDescent="0.3">
      <c r="B1800" s="24"/>
    </row>
    <row r="1801" spans="2:2" x14ac:dyDescent="0.3">
      <c r="B1801" s="24"/>
    </row>
    <row r="1802" spans="2:2" x14ac:dyDescent="0.3">
      <c r="B1802" s="24"/>
    </row>
    <row r="1803" spans="2:2" x14ac:dyDescent="0.3">
      <c r="B1803" s="24"/>
    </row>
    <row r="1804" spans="2:2" x14ac:dyDescent="0.3">
      <c r="B1804" s="24"/>
    </row>
    <row r="1805" spans="2:2" x14ac:dyDescent="0.3">
      <c r="B1805" s="24"/>
    </row>
    <row r="1806" spans="2:2" x14ac:dyDescent="0.3">
      <c r="B1806" s="24"/>
    </row>
    <row r="1807" spans="2:2" x14ac:dyDescent="0.3">
      <c r="B1807" s="24"/>
    </row>
    <row r="1808" spans="2:2" x14ac:dyDescent="0.3">
      <c r="B1808" s="24"/>
    </row>
    <row r="1809" spans="2:2" x14ac:dyDescent="0.3">
      <c r="B1809" s="24"/>
    </row>
    <row r="1810" spans="2:2" x14ac:dyDescent="0.3">
      <c r="B1810" s="24"/>
    </row>
    <row r="1811" spans="2:2" x14ac:dyDescent="0.3">
      <c r="B1811" s="24"/>
    </row>
    <row r="1812" spans="2:2" x14ac:dyDescent="0.3">
      <c r="B1812" s="24"/>
    </row>
    <row r="1813" spans="2:2" x14ac:dyDescent="0.3">
      <c r="B1813" s="24"/>
    </row>
    <row r="1814" spans="2:2" x14ac:dyDescent="0.3">
      <c r="B1814" s="24"/>
    </row>
    <row r="1815" spans="2:2" x14ac:dyDescent="0.3">
      <c r="B1815" s="24"/>
    </row>
    <row r="1816" spans="2:2" x14ac:dyDescent="0.3">
      <c r="B1816" s="24"/>
    </row>
    <row r="1817" spans="2:2" x14ac:dyDescent="0.3">
      <c r="B1817" s="24"/>
    </row>
    <row r="1818" spans="2:2" x14ac:dyDescent="0.3">
      <c r="B1818" s="24"/>
    </row>
    <row r="1819" spans="2:2" x14ac:dyDescent="0.3">
      <c r="B1819" s="24"/>
    </row>
    <row r="1820" spans="2:2" x14ac:dyDescent="0.3">
      <c r="B1820" s="24"/>
    </row>
    <row r="1821" spans="2:2" x14ac:dyDescent="0.3">
      <c r="B1821" s="24"/>
    </row>
    <row r="1822" spans="2:2" x14ac:dyDescent="0.3">
      <c r="B1822" s="24"/>
    </row>
    <row r="1823" spans="2:2" x14ac:dyDescent="0.3">
      <c r="B1823" s="24"/>
    </row>
    <row r="1824" spans="2:2" x14ac:dyDescent="0.3">
      <c r="B1824" s="24"/>
    </row>
    <row r="1825" spans="2:2" x14ac:dyDescent="0.3">
      <c r="B1825" s="24"/>
    </row>
    <row r="1826" spans="2:2" x14ac:dyDescent="0.3">
      <c r="B1826" s="24"/>
    </row>
    <row r="1827" spans="2:2" x14ac:dyDescent="0.3">
      <c r="B1827" s="24"/>
    </row>
    <row r="1828" spans="2:2" x14ac:dyDescent="0.3">
      <c r="B1828" s="24"/>
    </row>
    <row r="1829" spans="2:2" x14ac:dyDescent="0.3">
      <c r="B1829" s="24"/>
    </row>
    <row r="1830" spans="2:2" x14ac:dyDescent="0.3">
      <c r="B1830" s="24"/>
    </row>
    <row r="1831" spans="2:2" x14ac:dyDescent="0.3">
      <c r="B1831" s="24"/>
    </row>
    <row r="1832" spans="2:2" x14ac:dyDescent="0.3">
      <c r="B1832" s="24"/>
    </row>
    <row r="1833" spans="2:2" x14ac:dyDescent="0.3">
      <c r="B1833" s="24"/>
    </row>
    <row r="1834" spans="2:2" x14ac:dyDescent="0.3">
      <c r="B1834" s="24"/>
    </row>
    <row r="1835" spans="2:2" x14ac:dyDescent="0.3">
      <c r="B1835" s="24"/>
    </row>
    <row r="1836" spans="2:2" x14ac:dyDescent="0.3">
      <c r="B1836" s="24"/>
    </row>
    <row r="1837" spans="2:2" x14ac:dyDescent="0.3">
      <c r="B1837" s="24"/>
    </row>
    <row r="1838" spans="2:2" x14ac:dyDescent="0.3">
      <c r="B1838" s="24"/>
    </row>
    <row r="1839" spans="2:2" x14ac:dyDescent="0.3">
      <c r="B1839" s="24"/>
    </row>
    <row r="1840" spans="2:2" x14ac:dyDescent="0.3">
      <c r="B1840" s="24"/>
    </row>
    <row r="1841" spans="2:2" x14ac:dyDescent="0.3">
      <c r="B1841" s="24"/>
    </row>
    <row r="1842" spans="2:2" x14ac:dyDescent="0.3">
      <c r="B1842" s="24"/>
    </row>
    <row r="1843" spans="2:2" x14ac:dyDescent="0.3">
      <c r="B1843" s="24"/>
    </row>
    <row r="1844" spans="2:2" x14ac:dyDescent="0.3">
      <c r="B1844" s="24"/>
    </row>
    <row r="1845" spans="2:2" x14ac:dyDescent="0.3">
      <c r="B1845" s="24"/>
    </row>
    <row r="1846" spans="2:2" x14ac:dyDescent="0.3">
      <c r="B1846" s="24"/>
    </row>
    <row r="1847" spans="2:2" x14ac:dyDescent="0.3">
      <c r="B1847" s="24"/>
    </row>
    <row r="1848" spans="2:2" x14ac:dyDescent="0.3">
      <c r="B1848" s="24"/>
    </row>
    <row r="1849" spans="2:2" x14ac:dyDescent="0.3">
      <c r="B1849" s="24"/>
    </row>
    <row r="1850" spans="2:2" x14ac:dyDescent="0.3">
      <c r="B1850" s="24"/>
    </row>
    <row r="1851" spans="2:2" x14ac:dyDescent="0.3">
      <c r="B1851" s="24"/>
    </row>
    <row r="1852" spans="2:2" x14ac:dyDescent="0.3">
      <c r="B1852" s="24"/>
    </row>
    <row r="1853" spans="2:2" x14ac:dyDescent="0.3">
      <c r="B1853" s="24"/>
    </row>
    <row r="1854" spans="2:2" x14ac:dyDescent="0.3">
      <c r="B1854" s="24"/>
    </row>
    <row r="1855" spans="2:2" x14ac:dyDescent="0.3">
      <c r="B1855" s="24"/>
    </row>
    <row r="1856" spans="2:2" x14ac:dyDescent="0.3">
      <c r="B1856" s="24"/>
    </row>
    <row r="1857" spans="2:2" x14ac:dyDescent="0.3">
      <c r="B1857" s="24"/>
    </row>
    <row r="1858" spans="2:2" x14ac:dyDescent="0.3">
      <c r="B1858" s="24"/>
    </row>
    <row r="1859" spans="2:2" x14ac:dyDescent="0.3">
      <c r="B1859" s="24"/>
    </row>
    <row r="1860" spans="2:2" x14ac:dyDescent="0.3">
      <c r="B1860" s="24"/>
    </row>
    <row r="1861" spans="2:2" x14ac:dyDescent="0.3">
      <c r="B1861" s="24"/>
    </row>
    <row r="1862" spans="2:2" x14ac:dyDescent="0.3">
      <c r="B1862" s="24"/>
    </row>
    <row r="1863" spans="2:2" x14ac:dyDescent="0.3">
      <c r="B1863" s="24"/>
    </row>
    <row r="1864" spans="2:2" x14ac:dyDescent="0.3">
      <c r="B1864" s="24"/>
    </row>
    <row r="1865" spans="2:2" x14ac:dyDescent="0.3">
      <c r="B1865" s="24"/>
    </row>
  </sheetData>
  <pageMargins left="0.75" right="0.75" top="1" bottom="1" header="0.5" footer="0.5"/>
  <pageSetup paperSize="25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82"/>
  <sheetViews>
    <sheetView showGridLines="0" tabSelected="1" topLeftCell="B2" zoomScale="73" zoomScaleNormal="70" workbookViewId="0">
      <selection activeCell="B3" sqref="B3"/>
    </sheetView>
  </sheetViews>
  <sheetFormatPr defaultColWidth="9.21875" defaultRowHeight="15" x14ac:dyDescent="0.25"/>
  <cols>
    <col min="1" max="1" width="4.77734375" style="1" customWidth="1"/>
    <col min="2" max="2" width="37.77734375" style="8" customWidth="1"/>
    <col min="3" max="3" width="2.33203125" style="7" customWidth="1"/>
    <col min="4" max="4" width="37.77734375" style="8" customWidth="1"/>
    <col min="5" max="5" width="4.77734375" style="1" customWidth="1"/>
    <col min="6" max="16384" width="9.21875" style="2"/>
  </cols>
  <sheetData>
    <row r="1" spans="1:9" ht="19.95" customHeight="1" x14ac:dyDescent="0.25">
      <c r="C1" s="6" t="s">
        <v>19</v>
      </c>
    </row>
    <row r="2" spans="1:9" ht="18" customHeight="1" x14ac:dyDescent="0.25">
      <c r="A2" s="1">
        <f>($F$2*10)-9</f>
        <v>1</v>
      </c>
      <c r="B2" s="9" t="str">
        <f>IF(ISTEXT(VLOOKUP(A2,Daftar!$A$2:$E$29893,2,FALSE)),VLOOKUP(A2,Daftar!$A$2:$E$29893,2,FALSE),"")</f>
        <v/>
      </c>
      <c r="C2" s="6" t="s">
        <v>19</v>
      </c>
      <c r="D2" s="9" t="str">
        <f>IF(ISTEXT(VLOOKUP(E2,Daftar!$A$2:$E$29893,2,FALSE)),VLOOKUP(E2,Daftar!$A$2:$E$29893,2,FALSE),"")</f>
        <v/>
      </c>
      <c r="E2" s="1">
        <f>($F$2*10)-8</f>
        <v>2</v>
      </c>
      <c r="F2" s="2">
        <v>1</v>
      </c>
    </row>
    <row r="3" spans="1:9" ht="18" customHeight="1" x14ac:dyDescent="0.25">
      <c r="B3" s="10" t="str">
        <f>IF(ISTEXT(VLOOKUP(A2,Daftar!$A$2:$E$29893,3,FALSE)),VLOOKUP(A2,Daftar!$A$2:$E$29893,3,FALSE),"")</f>
        <v/>
      </c>
      <c r="C3" s="6" t="s">
        <v>19</v>
      </c>
      <c r="D3" s="10" t="str">
        <f>IF(ISTEXT(VLOOKUP(E2,Daftar!$A$2:$E$29893,3,FALSE)),VLOOKUP(E2,Daftar!$A$2:$E$29893,3,FALSE),"")</f>
        <v/>
      </c>
    </row>
    <row r="4" spans="1:9" ht="18" customHeight="1" x14ac:dyDescent="0.4">
      <c r="B4" s="11" t="str">
        <f>IF(ISTEXT(VLOOKUP(A2,Daftar!$A$2:$E$29893,4,FALSE)),VLOOKUP(A2,Daftar!$A$2:$E$29893,4,FALSE),"")</f>
        <v/>
      </c>
      <c r="C4" s="6" t="s">
        <v>19</v>
      </c>
      <c r="D4" s="11" t="str">
        <f>IF(ISTEXT(VLOOKUP(E2,Daftar!$A$2:$E$29893,4,FALSE)),VLOOKUP(E2,Daftar!$A$2:$E$29893,4,FALSE),"")</f>
        <v/>
      </c>
    </row>
    <row r="5" spans="1:9" ht="18" customHeight="1" x14ac:dyDescent="0.4">
      <c r="B5" s="12" t="str">
        <f>IF(ISTEXT(VLOOKUP(A2,Daftar!$A$2:$E$29893,5,FALSE)),VLOOKUP(A2,Daftar!$A$2:$E$29893,5,FALSE),"")</f>
        <v/>
      </c>
      <c r="C5" s="6" t="s">
        <v>19</v>
      </c>
      <c r="D5" s="12" t="str">
        <f>IF(ISTEXT(VLOOKUP(E2,Daftar!$A$2:$E$29893,5,FALSE)),VLOOKUP(E2,Daftar!$A$2:$E$29893,5,FALSE),"")</f>
        <v/>
      </c>
    </row>
    <row r="6" spans="1:9" ht="40.950000000000003" customHeight="1" x14ac:dyDescent="0.25">
      <c r="B6" s="13"/>
      <c r="C6" s="6" t="s">
        <v>19</v>
      </c>
      <c r="D6" s="13"/>
    </row>
    <row r="7" spans="1:9" ht="18" customHeight="1" x14ac:dyDescent="0.25">
      <c r="A7" s="1">
        <f>($F$2*10)-7</f>
        <v>3</v>
      </c>
      <c r="B7" s="9" t="str">
        <f>IF(ISTEXT(VLOOKUP(A7,Daftar!$A$2:$E$29893,2,FALSE)),VLOOKUP(A7,Daftar!$A$2:$E$29893,2,FALSE),"")</f>
        <v/>
      </c>
      <c r="C7" s="6" t="s">
        <v>19</v>
      </c>
      <c r="D7" s="9" t="str">
        <f>IF(ISTEXT(VLOOKUP(E7,Daftar!$A$2:$E$29893,2,FALSE)),VLOOKUP(E7,Daftar!$A$2:$E$29893,2,FALSE),"")</f>
        <v/>
      </c>
      <c r="E7" s="1">
        <f>($F$2*10)-6</f>
        <v>4</v>
      </c>
      <c r="F7" s="3"/>
    </row>
    <row r="8" spans="1:9" ht="18" customHeight="1" x14ac:dyDescent="0.25">
      <c r="B8" s="10" t="str">
        <f>IF(ISTEXT(VLOOKUP(A7,Daftar!$A$2:$E$29893,3,FALSE)),VLOOKUP(A7,Daftar!$A$2:$E$29893,3,FALSE),"")</f>
        <v/>
      </c>
      <c r="C8" s="6" t="s">
        <v>19</v>
      </c>
      <c r="D8" s="10" t="str">
        <f>IF(ISTEXT(VLOOKUP(E7,Daftar!$A$2:$E$29893,3,FALSE)),VLOOKUP(E7,Daftar!$A$2:$E$29893,3,FALSE),"")</f>
        <v/>
      </c>
      <c r="I8" s="4" t="s">
        <v>1</v>
      </c>
    </row>
    <row r="9" spans="1:9" ht="18" customHeight="1" x14ac:dyDescent="0.4">
      <c r="B9" s="11" t="str">
        <f>IF(ISTEXT(VLOOKUP(A7,Daftar!$A$2:$E$29893,4,FALSE)),VLOOKUP(A7,Daftar!$A$2:$E$29893,4,FALSE),"")</f>
        <v/>
      </c>
      <c r="C9" s="6" t="s">
        <v>19</v>
      </c>
      <c r="D9" s="11" t="str">
        <f>IF(ISTEXT(VLOOKUP(E7,Daftar!$A$2:$E$29893,4,FALSE)),VLOOKUP(E7,Daftar!$A$2:$E$29893,4,FALSE),"")</f>
        <v/>
      </c>
      <c r="I9" s="5" t="s">
        <v>18</v>
      </c>
    </row>
    <row r="10" spans="1:9" ht="18" customHeight="1" x14ac:dyDescent="0.4">
      <c r="B10" s="12" t="str">
        <f>IF(ISTEXT(VLOOKUP(A7,Daftar!$A$2:$E$29893,5,FALSE)),VLOOKUP(A7,Daftar!$A$2:$E$29893,5,FALSE),"")</f>
        <v/>
      </c>
      <c r="C10" s="6" t="s">
        <v>19</v>
      </c>
      <c r="D10" s="12" t="str">
        <f>IF(ISTEXT(VLOOKUP(E7,Daftar!$A$2:$E$29893,5,FALSE)),VLOOKUP(E7,Daftar!$A$2:$E$29893,5,FALSE),"")</f>
        <v/>
      </c>
    </row>
    <row r="11" spans="1:9" ht="46.05" customHeight="1" x14ac:dyDescent="0.25">
      <c r="B11" s="13"/>
      <c r="C11" s="6" t="s">
        <v>19</v>
      </c>
      <c r="D11" s="13"/>
    </row>
    <row r="12" spans="1:9" ht="18" customHeight="1" x14ac:dyDescent="0.25">
      <c r="A12" s="1">
        <f>($F$2*10)-5</f>
        <v>5</v>
      </c>
      <c r="B12" s="9" t="str">
        <f>IF(ISTEXT(VLOOKUP(A12,Daftar!$A$2:$E$29893,2,FALSE)),VLOOKUP(A12,Daftar!$A$2:$E$29893,2,FALSE),"")</f>
        <v/>
      </c>
      <c r="C12" s="6" t="s">
        <v>19</v>
      </c>
      <c r="D12" s="9" t="str">
        <f>IF(ISTEXT(VLOOKUP(E12,Daftar!$A$2:$E$29893,2,FALSE)),VLOOKUP(E12,Daftar!$A$2:$E$29893,2,FALSE),"")</f>
        <v/>
      </c>
      <c r="E12" s="1">
        <f>($F$2*10)-4</f>
        <v>6</v>
      </c>
    </row>
    <row r="13" spans="1:9" ht="18" customHeight="1" x14ac:dyDescent="0.25">
      <c r="B13" s="10" t="str">
        <f>IF(ISTEXT(VLOOKUP(A12,Daftar!$A$2:$E$29893,3,FALSE)),VLOOKUP(A12,Daftar!$A$2:$E$29893,3,FALSE),"")</f>
        <v/>
      </c>
      <c r="C13" s="6" t="s">
        <v>19</v>
      </c>
      <c r="D13" s="10" t="str">
        <f>IF(ISTEXT(VLOOKUP(E12,Daftar!$A$2:$E$29893,3,FALSE)),VLOOKUP(E12,Daftar!$A$2:$E$29893,3,FALSE),"")</f>
        <v/>
      </c>
    </row>
    <row r="14" spans="1:9" ht="18" customHeight="1" x14ac:dyDescent="0.4">
      <c r="B14" s="11" t="str">
        <f>IF(ISTEXT(VLOOKUP(A12,Daftar!$A$2:$E$29893,4,FALSE)),VLOOKUP(A12,Daftar!$A$2:$E$29893,4,FALSE),"")</f>
        <v/>
      </c>
      <c r="C14" s="6" t="s">
        <v>19</v>
      </c>
      <c r="D14" s="11" t="str">
        <f>IF(ISTEXT(VLOOKUP(E12,Daftar!$A$2:$E$29893,4,FALSE)),VLOOKUP(E12,Daftar!$A$2:$E$29893,4,FALSE),"")</f>
        <v/>
      </c>
    </row>
    <row r="15" spans="1:9" ht="18" customHeight="1" x14ac:dyDescent="0.4">
      <c r="B15" s="12" t="str">
        <f>IF(ISTEXT(VLOOKUP(A12,Daftar!$A$2:$E$29893,5,FALSE)),VLOOKUP(A12,Daftar!$A$2:$E$29893,5,FALSE),"")</f>
        <v/>
      </c>
      <c r="C15" s="6" t="s">
        <v>19</v>
      </c>
      <c r="D15" s="12" t="str">
        <f>IF(ISTEXT(VLOOKUP(E12,Daftar!$A$2:$E$29893,5,FALSE)),VLOOKUP(E12,Daftar!$A$2:$E$29893,5,FALSE),"")</f>
        <v/>
      </c>
    </row>
    <row r="16" spans="1:9" ht="42" customHeight="1" x14ac:dyDescent="0.25">
      <c r="B16" s="13"/>
      <c r="C16" s="6" t="s">
        <v>19</v>
      </c>
      <c r="D16" s="13"/>
    </row>
    <row r="17" spans="1:5" ht="18" customHeight="1" x14ac:dyDescent="0.25">
      <c r="A17" s="1">
        <f>($F$2*10)-3</f>
        <v>7</v>
      </c>
      <c r="B17" s="9" t="str">
        <f>IF(ISTEXT(VLOOKUP(A17,Daftar!$A$2:$E$29893,2,FALSE)),VLOOKUP(A17,Daftar!$A$2:$E$29893,2,FALSE),"")</f>
        <v/>
      </c>
      <c r="C17" s="6" t="s">
        <v>19</v>
      </c>
      <c r="D17" s="9" t="str">
        <f>IF(ISTEXT(VLOOKUP(E17,Daftar!$A$2:$E$29893,2,FALSE)),VLOOKUP(E17,Daftar!$A$2:$E$29893,2,FALSE),"")</f>
        <v/>
      </c>
      <c r="E17" s="1">
        <f>($F$2*10)-2</f>
        <v>8</v>
      </c>
    </row>
    <row r="18" spans="1:5" ht="18" customHeight="1" x14ac:dyDescent="0.25">
      <c r="B18" s="10" t="str">
        <f>IF(ISTEXT(VLOOKUP(A17,Daftar!$A$2:$E$29893,3,FALSE)),VLOOKUP(A17,Daftar!$A$2:$E$29893,3,FALSE),"")</f>
        <v/>
      </c>
      <c r="C18" s="6" t="s">
        <v>19</v>
      </c>
      <c r="D18" s="10" t="str">
        <f>IF(ISTEXT(VLOOKUP(E17,Daftar!$A$2:$E$29893,3,FALSE)),VLOOKUP(E17,Daftar!$A$2:$E$29893,3,FALSE),"")</f>
        <v/>
      </c>
    </row>
    <row r="19" spans="1:5" ht="18" customHeight="1" x14ac:dyDescent="0.4">
      <c r="B19" s="11" t="str">
        <f>IF(ISTEXT(VLOOKUP(A17,Daftar!$A$2:$E$29893,4,FALSE)),VLOOKUP(A17,Daftar!$A$2:$E$29893,4,FALSE),"")</f>
        <v/>
      </c>
      <c r="C19" s="6" t="s">
        <v>19</v>
      </c>
      <c r="D19" s="11" t="str">
        <f>IF(ISTEXT(VLOOKUP(E17,Daftar!$A$2:$E$29893,4,FALSE)),VLOOKUP(E17,Daftar!$A$2:$E$29893,4,FALSE),"")</f>
        <v/>
      </c>
    </row>
    <row r="20" spans="1:5" ht="18" customHeight="1" x14ac:dyDescent="0.4">
      <c r="B20" s="12" t="str">
        <f>IF(ISTEXT(VLOOKUP(A17,Daftar!$A$2:$E$29893,5,FALSE)),VLOOKUP(A17,Daftar!$A$2:$E$29893,5,FALSE),"")</f>
        <v/>
      </c>
      <c r="C20" s="6" t="s">
        <v>19</v>
      </c>
      <c r="D20" s="12" t="str">
        <f>IF(ISTEXT(VLOOKUP(E17,Daftar!$A$2:$E$29893,5,FALSE)),VLOOKUP(E17,Daftar!$A$2:$E$29893,5,FALSE),"")</f>
        <v/>
      </c>
    </row>
    <row r="21" spans="1:5" ht="42" customHeight="1" x14ac:dyDescent="0.25">
      <c r="B21" s="13"/>
      <c r="C21" s="6" t="s">
        <v>19</v>
      </c>
      <c r="D21" s="13"/>
    </row>
    <row r="22" spans="1:5" ht="18" customHeight="1" x14ac:dyDescent="0.25">
      <c r="A22" s="1">
        <f>($F$2*10)-1</f>
        <v>9</v>
      </c>
      <c r="B22" s="9" t="str">
        <f>IF(ISTEXT(VLOOKUP(A22,Daftar!$A$2:$E$29893,2,FALSE)),VLOOKUP(A22,Daftar!$A$2:$E$29893,2,FALSE),"")</f>
        <v/>
      </c>
      <c r="C22" s="6" t="s">
        <v>19</v>
      </c>
      <c r="D22" s="9" t="str">
        <f>IF(ISTEXT(VLOOKUP(E22,Daftar!$A$2:$E$29893,2,FALSE)),VLOOKUP(E22,Daftar!$A$2:$E$29893,2,FALSE),"")</f>
        <v/>
      </c>
      <c r="E22" s="1">
        <f>($F$2*10)-0</f>
        <v>10</v>
      </c>
    </row>
    <row r="23" spans="1:5" ht="18" customHeight="1" x14ac:dyDescent="0.25">
      <c r="B23" s="10" t="str">
        <f>IF(ISTEXT(VLOOKUP(A22,Daftar!$A$2:$E$29893,3,FALSE)),VLOOKUP(A22,Daftar!$A$2:$E$29893,3,FALSE),"")</f>
        <v/>
      </c>
      <c r="C23" s="6" t="s">
        <v>19</v>
      </c>
      <c r="D23" s="10" t="str">
        <f>IF(ISTEXT(VLOOKUP(E22,Daftar!$A$2:$E$29893,3,FALSE)),VLOOKUP(E22,Daftar!$A$2:$E$29893,3,FALSE),"")</f>
        <v/>
      </c>
    </row>
    <row r="24" spans="1:5" ht="18" customHeight="1" x14ac:dyDescent="0.4">
      <c r="B24" s="11" t="str">
        <f>IF(ISTEXT(VLOOKUP(A22,Daftar!$A$2:$E$29893,4,FALSE)),VLOOKUP(A22,Daftar!$A$2:$E$29893,4,FALSE),"")</f>
        <v/>
      </c>
      <c r="C24" s="6" t="s">
        <v>19</v>
      </c>
      <c r="D24" s="11" t="str">
        <f>IF(ISTEXT(VLOOKUP(E22,Daftar!$A$2:$E$29893,4,FALSE)),VLOOKUP(E22,Daftar!$A$2:$E$29893,4,FALSE),"")</f>
        <v/>
      </c>
      <c r="E24" s="1" t="s">
        <v>2</v>
      </c>
    </row>
    <row r="25" spans="1:5" ht="18" customHeight="1" x14ac:dyDescent="0.4">
      <c r="B25" s="12" t="str">
        <f>IF(ISTEXT(VLOOKUP(A22,Daftar!$A$2:$E$29893,5,FALSE)),VLOOKUP(A22,Daftar!$A$2:$E$29893,5,FALSE),"")</f>
        <v/>
      </c>
      <c r="C25" s="6" t="s">
        <v>19</v>
      </c>
      <c r="D25" s="12" t="str">
        <f>IF(ISTEXT(VLOOKUP(E22,Daftar!$A$2:$E$29893,5,FALSE)),VLOOKUP(E22,Daftar!$A$2:$E$29893,5,FALSE),"")</f>
        <v/>
      </c>
    </row>
    <row r="26" spans="1:5" ht="10.050000000000001" customHeight="1" x14ac:dyDescent="0.25">
      <c r="C26" s="6" t="s">
        <v>19</v>
      </c>
    </row>
    <row r="1773" spans="2:4" x14ac:dyDescent="0.25">
      <c r="B1773" s="8" t="s">
        <v>3</v>
      </c>
      <c r="C1773" s="7" t="s">
        <v>4</v>
      </c>
      <c r="D1773" s="8" t="s">
        <v>5</v>
      </c>
    </row>
    <row r="1774" spans="2:4" x14ac:dyDescent="0.25">
      <c r="B1774" s="8" t="s">
        <v>6</v>
      </c>
      <c r="D1774" s="8" t="s">
        <v>0</v>
      </c>
    </row>
    <row r="1775" spans="2:4" x14ac:dyDescent="0.25">
      <c r="B1775" s="8" t="s">
        <v>7</v>
      </c>
      <c r="C1775" s="7" t="s">
        <v>8</v>
      </c>
      <c r="D1775" s="8" t="s">
        <v>0</v>
      </c>
    </row>
    <row r="1776" spans="2:4" x14ac:dyDescent="0.25">
      <c r="B1776" s="8" t="s">
        <v>9</v>
      </c>
      <c r="C1776" s="7" t="s">
        <v>8</v>
      </c>
    </row>
    <row r="1777" spans="2:4" x14ac:dyDescent="0.25">
      <c r="B1777" s="8" t="s">
        <v>10</v>
      </c>
      <c r="C1777" s="7" t="s">
        <v>8</v>
      </c>
    </row>
    <row r="1778" spans="2:4" x14ac:dyDescent="0.25">
      <c r="B1778" s="8" t="s">
        <v>11</v>
      </c>
      <c r="D1778" s="8" t="s">
        <v>0</v>
      </c>
    </row>
    <row r="1779" spans="2:4" x14ac:dyDescent="0.25">
      <c r="B1779" s="8" t="s">
        <v>12</v>
      </c>
    </row>
    <row r="1780" spans="2:4" x14ac:dyDescent="0.25">
      <c r="B1780" s="8" t="s">
        <v>13</v>
      </c>
      <c r="C1780" s="7" t="s">
        <v>8</v>
      </c>
      <c r="D1780" s="8" t="s">
        <v>0</v>
      </c>
    </row>
    <row r="1781" spans="2:4" x14ac:dyDescent="0.25">
      <c r="B1781" s="8" t="s">
        <v>14</v>
      </c>
      <c r="C1781" s="7" t="s">
        <v>15</v>
      </c>
      <c r="D1781" s="8" t="s">
        <v>0</v>
      </c>
    </row>
    <row r="1782" spans="2:4" x14ac:dyDescent="0.25">
      <c r="B1782" s="8" t="s">
        <v>16</v>
      </c>
      <c r="D1782" s="8" t="s">
        <v>17</v>
      </c>
    </row>
  </sheetData>
  <pageMargins left="0.11811023622047245" right="0.11811023622047245" top="0.11811023622047245" bottom="0.11811023622047245" header="0.35433070866141736" footer="0.35433070866141736"/>
  <pageSetup paperSize="256" orientation="portrait" horizontalDpi="4294967293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Spinner 2">
              <controlPr defaultSize="0" autoPict="0">
                <anchor moveWithCells="1" sizeWithCells="1">
                  <from>
                    <xdr:col>5</xdr:col>
                    <xdr:colOff>68580</xdr:colOff>
                    <xdr:row>1</xdr:row>
                    <xdr:rowOff>38100</xdr:rowOff>
                  </from>
                  <to>
                    <xdr:col>5</xdr:col>
                    <xdr:colOff>312420</xdr:colOff>
                    <xdr:row>3</xdr:row>
                    <xdr:rowOff>91440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Daftar</vt:lpstr>
      <vt:lpstr>Hasil</vt:lpstr>
      <vt:lpstr>Daftar!Print_Area</vt:lpstr>
      <vt:lpstr>Hasil!Print_Area</vt:lpstr>
      <vt:lpstr>W</vt:lpstr>
    </vt:vector>
  </TitlesOfParts>
  <Company>JTC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413HY</dc:creator>
  <cp:lastModifiedBy>Ferdy Syarlin</cp:lastModifiedBy>
  <cp:lastPrinted>2024-11-30T02:04:14Z</cp:lastPrinted>
  <dcterms:created xsi:type="dcterms:W3CDTF">2007-10-06T02:01:00Z</dcterms:created>
  <dcterms:modified xsi:type="dcterms:W3CDTF">2026-08-16T12:27:50Z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1033-12.2.0.16731</vt:lpwstr>
  </property>
  <property fmtid="{D5CDD505-2E9C-101B-9397-08002B2CF9AE}" pid="3" name="ICV">
    <vt:lpwstr>979B52F4C45D4B008691428A7C1232ED</vt:lpwstr>
  </property>
</Properties>
</file>