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5-wisuda-iainbone\public\"/>
    </mc:Choice>
  </mc:AlternateContent>
  <xr:revisionPtr revIDLastSave="0" documentId="13_ncr:1_{1493ABBF-A85B-4BD3-8208-6E6E6F5845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asil" sheetId="2" r:id="rId1"/>
  </sheets>
  <definedNames>
    <definedName name="_xlnm.Print_Area" localSheetId="0">Hasil!$B$1:$D$26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2" l="1"/>
  <c r="D25" i="2" s="1"/>
  <c r="A22" i="2"/>
  <c r="B25" i="2" s="1"/>
  <c r="E17" i="2"/>
  <c r="D17" i="2" s="1"/>
  <c r="A17" i="2"/>
  <c r="B20" i="2" s="1"/>
  <c r="E12" i="2"/>
  <c r="D15" i="2" s="1"/>
  <c r="A12" i="2"/>
  <c r="B15" i="2" s="1"/>
  <c r="E7" i="2"/>
  <c r="D9" i="2" s="1"/>
  <c r="A7" i="2"/>
  <c r="B10" i="2" s="1"/>
  <c r="E2" i="2"/>
  <c r="D5" i="2" s="1"/>
  <c r="A2" i="2"/>
  <c r="B5" i="2" s="1"/>
  <c r="D10" i="2" l="1"/>
  <c r="B12" i="2"/>
  <c r="D12" i="2"/>
  <c r="B13" i="2"/>
  <c r="D13" i="2"/>
  <c r="B17" i="2"/>
  <c r="B18" i="2"/>
  <c r="D18" i="2"/>
  <c r="B19" i="2"/>
  <c r="D19" i="2"/>
  <c r="D20" i="2"/>
  <c r="B22" i="2"/>
  <c r="B23" i="2"/>
  <c r="B24" i="2"/>
  <c r="B7" i="2"/>
  <c r="D7" i="2"/>
  <c r="B8" i="2"/>
  <c r="D8" i="2"/>
  <c r="B9" i="2"/>
  <c r="D14" i="2"/>
  <c r="D22" i="2"/>
  <c r="B4" i="2"/>
  <c r="D23" i="2"/>
  <c r="D4" i="2"/>
  <c r="B3" i="2"/>
  <c r="B14" i="2"/>
  <c r="D24" i="2"/>
  <c r="D3" i="2"/>
  <c r="B2" i="2"/>
  <c r="D2" i="2"/>
</calcChain>
</file>

<file path=xl/sharedStrings.xml><?xml version="1.0" encoding="utf-8"?>
<sst xmlns="http://schemas.openxmlformats.org/spreadsheetml/2006/main" count="53" uniqueCount="21">
  <si>
    <t>TEMPAT</t>
  </si>
  <si>
    <t>CATATAN</t>
  </si>
  <si>
    <t xml:space="preserve"> </t>
  </si>
  <si>
    <t>HJ.SITTI MALKA</t>
  </si>
  <si>
    <t>WIRASWASTA</t>
  </si>
  <si>
    <t>JL.SOEKAWATI</t>
  </si>
  <si>
    <t>A.AWALUDDIN</t>
  </si>
  <si>
    <t>BRIGADIR A.SUTRISNO</t>
  </si>
  <si>
    <t>ANGGOTA TIM SUS SEK KOTA</t>
  </si>
  <si>
    <t>BRIGADIR A.HERMANSYAH</t>
  </si>
  <si>
    <t>BRIGADIR A.SYAMSUALAM KARIM</t>
  </si>
  <si>
    <t>DG. MASALLE</t>
  </si>
  <si>
    <t>SYAKUR</t>
  </si>
  <si>
    <t>BRIGADIR IMRAN.BM</t>
  </si>
  <si>
    <t>AIPTU HERMAN</t>
  </si>
  <si>
    <t>KA TIM SUS SEK KOTA</t>
  </si>
  <si>
    <t>H.BUHERA</t>
  </si>
  <si>
    <t>DONCIS COMMUNITY</t>
  </si>
  <si>
    <t>16 X 19,5</t>
  </si>
  <si>
    <t>I</t>
  </si>
  <si>
    <t>Label Veritac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</si>
</sst>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Arial"/>
      <charset val="1"/>
    </font>
    <font>
      <b/>
      <sz val="9"/>
      <name val="Inter"/>
    </font>
    <font>
      <sz val="9"/>
      <name val="Inter"/>
    </font>
    <font>
      <b/>
      <sz val="9"/>
      <color theme="0"/>
      <name val="Inter"/>
    </font>
    <font>
      <sz val="9"/>
      <color indexed="8"/>
      <name val="Inter"/>
    </font>
    <font>
      <sz val="9"/>
      <color rgb="FF002060"/>
      <name val="Inter"/>
    </font>
    <font>
      <b/>
      <sz val="9"/>
      <color indexed="8"/>
      <name val="Inter"/>
    </font>
    <font>
      <sz val="11"/>
      <color indexed="8"/>
      <name val="Arial"/>
      <family val="2"/>
    </font>
    <font>
      <sz val="9"/>
      <color theme="0"/>
      <name val="Inte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pin" dx="16" fmlaLink="$F$2" max="3000" min="1" page="10" val="4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68580</xdr:colOff>
          <xdr:row>1</xdr:row>
          <xdr:rowOff>38100</xdr:rowOff>
        </xdr:from>
        <xdr:to>
          <xdr:col>5</xdr:col>
          <xdr:colOff>312420</xdr:colOff>
          <xdr:row>3</xdr:row>
          <xdr:rowOff>91440</xdr:rowOff>
        </xdr:to>
        <xdr:sp macro="" textlink="">
          <xdr:nvSpPr>
            <xdr:cNvPr id="1026" name="Spinne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1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82"/>
  <sheetViews>
    <sheetView showGridLines="0" tabSelected="1" topLeftCell="B1" zoomScale="73" zoomScaleNormal="70" workbookViewId="0">
      <selection activeCell="F1" sqref="F1"/>
    </sheetView>
  </sheetViews>
  <sheetFormatPr defaultColWidth="9.21875" defaultRowHeight="15" x14ac:dyDescent="0.25"/>
  <cols>
    <col min="1" max="1" width="4.77734375" style="1" customWidth="1"/>
    <col min="2" max="2" width="37.77734375" style="8" customWidth="1"/>
    <col min="3" max="3" width="2.33203125" style="7" customWidth="1"/>
    <col min="4" max="4" width="37.33203125" style="8" customWidth="1"/>
    <col min="5" max="5" width="4.77734375" style="1" customWidth="1"/>
    <col min="6" max="16384" width="9.21875" style="2"/>
  </cols>
  <sheetData>
    <row r="1" spans="1:9" ht="19.95" customHeight="1" x14ac:dyDescent="0.25">
      <c r="C1" s="6" t="s">
        <v>19</v>
      </c>
    </row>
    <row r="2" spans="1:9" ht="18" customHeight="1" x14ac:dyDescent="0.25">
      <c r="A2" s="1">
        <f>($F$2*10)-9</f>
        <v>31</v>
      </c>
      <c r="B2" s="9" t="str">
        <f>IF(ISTEXT(VLOOKUP(A2,#REF!,2,FALSE)),VLOOKUP(A2,#REF!,2,FALSE),"")</f>
        <v/>
      </c>
      <c r="C2" s="6" t="s">
        <v>19</v>
      </c>
      <c r="D2" s="9" t="str">
        <f>IF(ISTEXT(VLOOKUP(E2,#REF!,2,FALSE)),VLOOKUP(E2,#REF!,2,FALSE),"")</f>
        <v/>
      </c>
      <c r="E2" s="1">
        <f>($F$2*10)-8</f>
        <v>32</v>
      </c>
      <c r="F2" s="2">
        <v>4</v>
      </c>
    </row>
    <row r="3" spans="1:9" ht="18" customHeight="1" x14ac:dyDescent="0.25">
      <c r="B3" s="10" t="str">
        <f>IF(ISTEXT(VLOOKUP(A2,#REF!,3,FALSE)),VLOOKUP(A2,#REF!,3,FALSE),"")</f>
        <v/>
      </c>
      <c r="C3" s="6" t="s">
        <v>19</v>
      </c>
      <c r="D3" s="10" t="str">
        <f>IF(ISTEXT(VLOOKUP(E2,#REF!,3,FALSE)),VLOOKUP(E2,#REF!,3,FALSE),"")</f>
        <v/>
      </c>
    </row>
    <row r="4" spans="1:9" ht="18" customHeight="1" x14ac:dyDescent="0.4">
      <c r="B4" s="11" t="str">
        <f>IF(ISTEXT(VLOOKUP(A2,#REF!,4,FALSE)),VLOOKUP(A2,#REF!,4,FALSE),"")</f>
        <v/>
      </c>
      <c r="C4" s="6" t="s">
        <v>19</v>
      </c>
      <c r="D4" s="11" t="str">
        <f>IF(ISTEXT(VLOOKUP(E2,#REF!,4,FALSE)),VLOOKUP(E2,#REF!,4,FALSE),"")</f>
        <v/>
      </c>
    </row>
    <row r="5" spans="1:9" ht="18" customHeight="1" x14ac:dyDescent="0.4">
      <c r="B5" s="12" t="str">
        <f>IF(ISTEXT(VLOOKUP(A2,#REF!,5,FALSE)),VLOOKUP(A2,#REF!,5,FALSE),"")</f>
        <v/>
      </c>
      <c r="C5" s="6" t="s">
        <v>19</v>
      </c>
      <c r="D5" s="12" t="str">
        <f>IF(ISTEXT(VLOOKUP(E2,#REF!,5,FALSE)),VLOOKUP(E2,#REF!,5,FALSE),"")</f>
        <v/>
      </c>
    </row>
    <row r="6" spans="1:9" ht="40.950000000000003" customHeight="1" x14ac:dyDescent="0.25">
      <c r="B6" s="13"/>
      <c r="C6" s="6" t="s">
        <v>19</v>
      </c>
      <c r="D6" s="13"/>
    </row>
    <row r="7" spans="1:9" ht="18" customHeight="1" x14ac:dyDescent="0.25">
      <c r="A7" s="1">
        <f>($F$2*10)-7</f>
        <v>33</v>
      </c>
      <c r="B7" s="9" t="str">
        <f>IF(ISTEXT(VLOOKUP(A7,#REF!,2,FALSE)),VLOOKUP(A7,#REF!,2,FALSE),"")</f>
        <v/>
      </c>
      <c r="C7" s="6" t="s">
        <v>19</v>
      </c>
      <c r="D7" s="9" t="str">
        <f>IF(ISTEXT(VLOOKUP(E7,#REF!,2,FALSE)),VLOOKUP(E7,#REF!,2,FALSE),"")</f>
        <v/>
      </c>
      <c r="E7" s="1">
        <f>($F$2*10)-6</f>
        <v>34</v>
      </c>
      <c r="F7" s="3"/>
    </row>
    <row r="8" spans="1:9" ht="18" customHeight="1" x14ac:dyDescent="0.25">
      <c r="B8" s="10" t="str">
        <f>IF(ISTEXT(VLOOKUP(A7,#REF!,3,FALSE)),VLOOKUP(A7,#REF!,3,FALSE),"")</f>
        <v/>
      </c>
      <c r="C8" s="6" t="s">
        <v>19</v>
      </c>
      <c r="D8" s="10" t="str">
        <f>IF(ISTEXT(VLOOKUP(E7,#REF!,3,FALSE)),VLOOKUP(E7,#REF!,3,FALSE),"")</f>
        <v/>
      </c>
      <c r="I8" s="4" t="s">
        <v>1</v>
      </c>
    </row>
    <row r="9" spans="1:9" ht="18" customHeight="1" x14ac:dyDescent="0.4">
      <c r="B9" s="11" t="str">
        <f>IF(ISTEXT(VLOOKUP(A7,#REF!,4,FALSE)),VLOOKUP(A7,#REF!,4,FALSE),"")</f>
        <v/>
      </c>
      <c r="C9" s="6" t="s">
        <v>19</v>
      </c>
      <c r="D9" s="11" t="str">
        <f>IF(ISTEXT(VLOOKUP(E7,#REF!,4,FALSE)),VLOOKUP(E7,#REF!,4,FALSE),"")</f>
        <v/>
      </c>
      <c r="I9" s="5" t="s">
        <v>18</v>
      </c>
    </row>
    <row r="10" spans="1:9" ht="18" customHeight="1" x14ac:dyDescent="0.4">
      <c r="B10" s="12" t="str">
        <f>IF(ISTEXT(VLOOKUP(A7,#REF!,5,FALSE)),VLOOKUP(A7,#REF!,5,FALSE),"")</f>
        <v/>
      </c>
      <c r="C10" s="6" t="s">
        <v>19</v>
      </c>
      <c r="D10" s="12" t="str">
        <f>IF(ISTEXT(VLOOKUP(E7,#REF!,5,FALSE)),VLOOKUP(E7,#REF!,5,FALSE),"")</f>
        <v/>
      </c>
    </row>
    <row r="11" spans="1:9" ht="46.05" customHeight="1" x14ac:dyDescent="0.25">
      <c r="B11" s="13"/>
      <c r="C11" s="6" t="s">
        <v>19</v>
      </c>
      <c r="D11" s="13"/>
      <c r="I11" s="2" t="s">
        <v>20</v>
      </c>
    </row>
    <row r="12" spans="1:9" ht="18" customHeight="1" x14ac:dyDescent="0.25">
      <c r="A12" s="1">
        <f>($F$2*10)-5</f>
        <v>35</v>
      </c>
      <c r="B12" s="9" t="str">
        <f>IF(ISTEXT(VLOOKUP(A12,#REF!,2,FALSE)),VLOOKUP(A12,#REF!,2,FALSE),"")</f>
        <v/>
      </c>
      <c r="C12" s="6" t="s">
        <v>19</v>
      </c>
      <c r="D12" s="9" t="str">
        <f>IF(ISTEXT(VLOOKUP(E12,#REF!,2,FALSE)),VLOOKUP(E12,#REF!,2,FALSE),"")</f>
        <v/>
      </c>
      <c r="E12" s="1">
        <f>($F$2*10)-4</f>
        <v>36</v>
      </c>
    </row>
    <row r="13" spans="1:9" ht="18" customHeight="1" x14ac:dyDescent="0.25">
      <c r="B13" s="10" t="str">
        <f>IF(ISTEXT(VLOOKUP(A12,#REF!,3,FALSE)),VLOOKUP(A12,#REF!,3,FALSE),"")</f>
        <v/>
      </c>
      <c r="C13" s="6" t="s">
        <v>19</v>
      </c>
      <c r="D13" s="10" t="str">
        <f>IF(ISTEXT(VLOOKUP(E12,#REF!,3,FALSE)),VLOOKUP(E12,#REF!,3,FALSE),"")</f>
        <v/>
      </c>
    </row>
    <row r="14" spans="1:9" ht="18" customHeight="1" x14ac:dyDescent="0.4">
      <c r="B14" s="11" t="str">
        <f>IF(ISTEXT(VLOOKUP(A12,#REF!,4,FALSE)),VLOOKUP(A12,#REF!,4,FALSE),"")</f>
        <v/>
      </c>
      <c r="C14" s="6" t="s">
        <v>19</v>
      </c>
      <c r="D14" s="11" t="str">
        <f>IF(ISTEXT(VLOOKUP(E12,#REF!,4,FALSE)),VLOOKUP(E12,#REF!,4,FALSE),"")</f>
        <v/>
      </c>
    </row>
    <row r="15" spans="1:9" ht="18" customHeight="1" x14ac:dyDescent="0.4">
      <c r="B15" s="12" t="str">
        <f>IF(ISTEXT(VLOOKUP(A12,#REF!,5,FALSE)),VLOOKUP(A12,#REF!,5,FALSE),"")</f>
        <v/>
      </c>
      <c r="C15" s="6" t="s">
        <v>19</v>
      </c>
      <c r="D15" s="12" t="str">
        <f>IF(ISTEXT(VLOOKUP(E12,#REF!,5,FALSE)),VLOOKUP(E12,#REF!,5,FALSE),"")</f>
        <v/>
      </c>
    </row>
    <row r="16" spans="1:9" ht="42" customHeight="1" x14ac:dyDescent="0.25">
      <c r="B16" s="13"/>
      <c r="C16" s="6" t="s">
        <v>19</v>
      </c>
      <c r="D16" s="13"/>
    </row>
    <row r="17" spans="1:5" ht="18" customHeight="1" x14ac:dyDescent="0.25">
      <c r="A17" s="1">
        <f>($F$2*10)-3</f>
        <v>37</v>
      </c>
      <c r="B17" s="9" t="str">
        <f>IF(ISTEXT(VLOOKUP(A17,#REF!,2,FALSE)),VLOOKUP(A17,#REF!,2,FALSE),"")</f>
        <v/>
      </c>
      <c r="C17" s="6" t="s">
        <v>19</v>
      </c>
      <c r="D17" s="9" t="str">
        <f>IF(ISTEXT(VLOOKUP(E17,#REF!,2,FALSE)),VLOOKUP(E17,#REF!,2,FALSE),"")</f>
        <v/>
      </c>
      <c r="E17" s="1">
        <f>($F$2*10)-2</f>
        <v>38</v>
      </c>
    </row>
    <row r="18" spans="1:5" ht="18" customHeight="1" x14ac:dyDescent="0.25">
      <c r="B18" s="10" t="str">
        <f>IF(ISTEXT(VLOOKUP(A17,#REF!,3,FALSE)),VLOOKUP(A17,#REF!,3,FALSE),"")</f>
        <v/>
      </c>
      <c r="C18" s="6" t="s">
        <v>19</v>
      </c>
      <c r="D18" s="10" t="str">
        <f>IF(ISTEXT(VLOOKUP(E17,#REF!,3,FALSE)),VLOOKUP(E17,#REF!,3,FALSE),"")</f>
        <v/>
      </c>
    </row>
    <row r="19" spans="1:5" ht="18" customHeight="1" x14ac:dyDescent="0.4">
      <c r="B19" s="11" t="str">
        <f>IF(ISTEXT(VLOOKUP(A17,#REF!,4,FALSE)),VLOOKUP(A17,#REF!,4,FALSE),"")</f>
        <v/>
      </c>
      <c r="C19" s="6" t="s">
        <v>19</v>
      </c>
      <c r="D19" s="11" t="str">
        <f>IF(ISTEXT(VLOOKUP(E17,#REF!,4,FALSE)),VLOOKUP(E17,#REF!,4,FALSE),"")</f>
        <v/>
      </c>
    </row>
    <row r="20" spans="1:5" ht="18" customHeight="1" x14ac:dyDescent="0.4">
      <c r="B20" s="12" t="str">
        <f>IF(ISTEXT(VLOOKUP(A17,#REF!,5,FALSE)),VLOOKUP(A17,#REF!,5,FALSE),"")</f>
        <v/>
      </c>
      <c r="C20" s="6" t="s">
        <v>19</v>
      </c>
      <c r="D20" s="12" t="str">
        <f>IF(ISTEXT(VLOOKUP(E17,#REF!,5,FALSE)),VLOOKUP(E17,#REF!,5,FALSE),"")</f>
        <v/>
      </c>
    </row>
    <row r="21" spans="1:5" ht="42" customHeight="1" x14ac:dyDescent="0.25">
      <c r="B21" s="13"/>
      <c r="C21" s="6" t="s">
        <v>19</v>
      </c>
      <c r="D21" s="13"/>
    </row>
    <row r="22" spans="1:5" ht="18" customHeight="1" x14ac:dyDescent="0.25">
      <c r="A22" s="1">
        <f>($F$2*10)-1</f>
        <v>39</v>
      </c>
      <c r="B22" s="9" t="str">
        <f>IF(ISTEXT(VLOOKUP(A22,#REF!,2,FALSE)),VLOOKUP(A22,#REF!,2,FALSE),"")</f>
        <v/>
      </c>
      <c r="C22" s="6" t="s">
        <v>19</v>
      </c>
      <c r="D22" s="9" t="str">
        <f>IF(ISTEXT(VLOOKUP(E22,#REF!,2,FALSE)),VLOOKUP(E22,#REF!,2,FALSE),"")</f>
        <v/>
      </c>
      <c r="E22" s="1">
        <f>($F$2*10)-0</f>
        <v>40</v>
      </c>
    </row>
    <row r="23" spans="1:5" ht="18" customHeight="1" x14ac:dyDescent="0.25">
      <c r="B23" s="10" t="str">
        <f>IF(ISTEXT(VLOOKUP(A22,#REF!,3,FALSE)),VLOOKUP(A22,#REF!,3,FALSE),"")</f>
        <v/>
      </c>
      <c r="C23" s="6" t="s">
        <v>19</v>
      </c>
      <c r="D23" s="10" t="str">
        <f>IF(ISTEXT(VLOOKUP(E22,#REF!,3,FALSE)),VLOOKUP(E22,#REF!,3,FALSE),"")</f>
        <v/>
      </c>
    </row>
    <row r="24" spans="1:5" ht="18" customHeight="1" x14ac:dyDescent="0.4">
      <c r="B24" s="11" t="str">
        <f>IF(ISTEXT(VLOOKUP(A22,#REF!,4,FALSE)),VLOOKUP(A22,#REF!,4,FALSE),"")</f>
        <v/>
      </c>
      <c r="C24" s="6" t="s">
        <v>19</v>
      </c>
      <c r="D24" s="11" t="str">
        <f>IF(ISTEXT(VLOOKUP(E22,#REF!,4,FALSE)),VLOOKUP(E22,#REF!,4,FALSE),"")</f>
        <v/>
      </c>
      <c r="E24" s="1" t="s">
        <v>2</v>
      </c>
    </row>
    <row r="25" spans="1:5" ht="18" customHeight="1" x14ac:dyDescent="0.4">
      <c r="B25" s="12" t="str">
        <f>IF(ISTEXT(VLOOKUP(A22,#REF!,5,FALSE)),VLOOKUP(A22,#REF!,5,FALSE),"")</f>
        <v/>
      </c>
      <c r="C25" s="6" t="s">
        <v>19</v>
      </c>
      <c r="D25" s="12" t="str">
        <f>IF(ISTEXT(VLOOKUP(E22,#REF!,5,FALSE)),VLOOKUP(E22,#REF!,5,FALSE),"")</f>
        <v/>
      </c>
    </row>
    <row r="26" spans="1:5" ht="10.050000000000001" customHeight="1" x14ac:dyDescent="0.25">
      <c r="C26" s="6" t="s">
        <v>19</v>
      </c>
    </row>
    <row r="1773" spans="2:4" x14ac:dyDescent="0.25">
      <c r="B1773" s="8" t="s">
        <v>3</v>
      </c>
      <c r="C1773" s="7" t="s">
        <v>4</v>
      </c>
      <c r="D1773" s="8" t="s">
        <v>5</v>
      </c>
    </row>
    <row r="1774" spans="2:4" x14ac:dyDescent="0.25">
      <c r="B1774" s="8" t="s">
        <v>6</v>
      </c>
      <c r="D1774" s="8" t="s">
        <v>0</v>
      </c>
    </row>
    <row r="1775" spans="2:4" x14ac:dyDescent="0.25">
      <c r="B1775" s="8" t="s">
        <v>7</v>
      </c>
      <c r="C1775" s="7" t="s">
        <v>8</v>
      </c>
      <c r="D1775" s="8" t="s">
        <v>0</v>
      </c>
    </row>
    <row r="1776" spans="2:4" x14ac:dyDescent="0.25">
      <c r="B1776" s="8" t="s">
        <v>9</v>
      </c>
      <c r="C1776" s="7" t="s">
        <v>8</v>
      </c>
    </row>
    <row r="1777" spans="2:4" x14ac:dyDescent="0.25">
      <c r="B1777" s="8" t="s">
        <v>10</v>
      </c>
      <c r="C1777" s="7" t="s">
        <v>8</v>
      </c>
    </row>
    <row r="1778" spans="2:4" x14ac:dyDescent="0.25">
      <c r="B1778" s="8" t="s">
        <v>11</v>
      </c>
      <c r="D1778" s="8" t="s">
        <v>0</v>
      </c>
    </row>
    <row r="1779" spans="2:4" x14ac:dyDescent="0.25">
      <c r="B1779" s="8" t="s">
        <v>12</v>
      </c>
    </row>
    <row r="1780" spans="2:4" x14ac:dyDescent="0.25">
      <c r="B1780" s="8" t="s">
        <v>13</v>
      </c>
      <c r="C1780" s="7" t="s">
        <v>8</v>
      </c>
      <c r="D1780" s="8" t="s">
        <v>0</v>
      </c>
    </row>
    <row r="1781" spans="2:4" x14ac:dyDescent="0.25">
      <c r="B1781" s="8" t="s">
        <v>14</v>
      </c>
      <c r="C1781" s="7" t="s">
        <v>15</v>
      </c>
      <c r="D1781" s="8" t="s">
        <v>0</v>
      </c>
    </row>
    <row r="1782" spans="2:4" x14ac:dyDescent="0.25">
      <c r="B1782" s="8" t="s">
        <v>16</v>
      </c>
      <c r="D1782" s="8" t="s">
        <v>17</v>
      </c>
    </row>
  </sheetData>
  <pageMargins left="0.11811023622047245" right="0.11811023622047245" top="0.11811023622047245" bottom="0.11811023622047245" header="0.35433070866141736" footer="0.35433070866141736"/>
  <pageSetup paperSize="256" orientation="portrait" horizontalDpi="4294967293" verticalDpi="300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Spinner 2">
              <controlPr defaultSize="0" autoPict="0">
                <anchor moveWithCells="1" sizeWithCells="1">
                  <from>
                    <xdr:col>5</xdr:col>
                    <xdr:colOff>68580</xdr:colOff>
                    <xdr:row>1</xdr:row>
                    <xdr:rowOff>38100</xdr:rowOff>
                  </from>
                  <to>
                    <xdr:col>5</xdr:col>
                    <xdr:colOff>312420</xdr:colOff>
                    <xdr:row>3</xdr:row>
                    <xdr:rowOff>91440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Hasil</vt:lpstr>
      <vt:lpstr>Hasil!Print_Area</vt:lpstr>
    </vt:vector>
  </TitlesOfParts>
  <Company>JTC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413HY</dc:creator>
  <cp:lastModifiedBy>Ferdy Syarlin</cp:lastModifiedBy>
  <cp:lastPrinted>2026-08-16T12:07:57Z</cp:lastPrinted>
  <dcterms:created xsi:type="dcterms:W3CDTF">2007-10-06T02:01:00Z</dcterms:created>
  <dcterms:modified xsi:type="dcterms:W3CDTF">2026-08-16T12:20:44Z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1033-12.2.0.16731</vt:lpwstr>
  </property>
  <property fmtid="{D5CDD505-2E9C-101B-9397-08002B2CF9AE}" pid="3" name="ICV">
    <vt:lpwstr>979B52F4C45D4B008691428A7C1232ED</vt:lpwstr>
  </property>
</Properties>
</file>